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mpanies" sheetId="2" state="visible" r:id="rId4"/>
    <sheet name="Job Openings" sheetId="3" state="visible" r:id="rId5"/>
    <sheet name="Search Links" sheetId="4" state="visible" r:id="rId6"/>
  </sheets>
  <definedNames>
    <definedName function="false" hidden="true" localSheetId="1" name="_xlnm._FilterDatabase" vbProcedure="false">Companies!$A$1:$K$103</definedName>
    <definedName function="false" hidden="true" localSheetId="2" name="_xlnm._FilterDatabase" vbProcedure="false">'Job Openings'!$A$1:$N$161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<sst xmlns="http://schemas.openxmlformats.org/spreadsheetml/2006/main" count="2845" uniqueCount="899">
  <si>
    <t xml:space="preserve">Payments &amp; Financial Services Jobs in India: Consulting, Product, Strategy, Growth</t>
  </si>
  <si>
    <t xml:space="preserve">• Compiled from web searches on 28 Sep 2026 (Google-style web search across company career sites, LinkedIn, Naukri, iimjobs, Instahyre, Foundit, Built In and other boards).</t>
  </si>
  <si>
    <t xml:space="preserve">• Direct page access to LinkedIn, Indeed and some career sites was blocked in the research environment, so the links were found through search but not opened one by one.</t>
  </si>
  <si>
    <t xml:space="preserve">• Postings on aggregators (BeBee, Jobaaj, The Muse, Built In, Workopia, GetMeReferred, Expertini) can be stale. Confirm each role is still open on the company's own careers page before applying.</t>
  </si>
  <si>
    <t xml:space="preserve">• 'Careers / search page' rows point to a company's job list or a filtered search where no single posting was found. Use them to find the current opening.</t>
  </si>
  <si>
    <t xml:space="preserve">• Yellow columns on the 'Job Openings' sheet are for you: track application status and notes there.</t>
  </si>
  <si>
    <t xml:space="preserve">Totals</t>
  </si>
  <si>
    <t xml:space="preserve">Companies</t>
  </si>
  <si>
    <t xml:space="preserve">Job links (rows)</t>
  </si>
  <si>
    <t xml:space="preserve">Specific job postings</t>
  </si>
  <si>
    <t xml:space="preserve">Careers / search pages</t>
  </si>
  <si>
    <t xml:space="preserve">Company segment</t>
  </si>
  <si>
    <t xml:space="preserve">Job links</t>
  </si>
  <si>
    <t xml:space="preserve">Consulting firm</t>
  </si>
  <si>
    <t xml:space="preserve">Payments fintech (India)</t>
  </si>
  <si>
    <t xml:space="preserve">Bank / card issuer</t>
  </si>
  <si>
    <t xml:space="preserve">Card network / payment system operator</t>
  </si>
  <si>
    <t xml:space="preserve">Cross-border payments</t>
  </si>
  <si>
    <t xml:space="preserve">Global payments &amp; big tech</t>
  </si>
  <si>
    <t xml:space="preserve">Payments technology &amp; processing</t>
  </si>
  <si>
    <t xml:space="preserve">Total</t>
  </si>
  <si>
    <t xml:space="preserve">Role category</t>
  </si>
  <si>
    <t xml:space="preserve">Share</t>
  </si>
  <si>
    <t xml:space="preserve">Consulting</t>
  </si>
  <si>
    <t xml:space="preserve">Business Consulting</t>
  </si>
  <si>
    <t xml:space="preserve">Product Management</t>
  </si>
  <si>
    <t xml:space="preserve">Strategy</t>
  </si>
  <si>
    <t xml:space="preserve">Growth</t>
  </si>
  <si>
    <t xml:space="preserve">Other</t>
  </si>
  <si>
    <t xml:space="preserve">#</t>
  </si>
  <si>
    <t xml:space="preserve">Company</t>
  </si>
  <si>
    <t xml:space="preserve">Segment</t>
  </si>
  <si>
    <t xml:space="preserve">Company type</t>
  </si>
  <si>
    <t xml:space="preserve">Job links found</t>
  </si>
  <si>
    <t xml:space="preserve">Role categories found</t>
  </si>
  <si>
    <t xml:space="preserve">Locations</t>
  </si>
  <si>
    <t xml:space="preserve">Best job link (first specific posting)</t>
  </si>
  <si>
    <t xml:space="preserve">Careers / all jobs page</t>
  </si>
  <si>
    <t xml:space="preserve">LinkedIn India job search</t>
  </si>
  <si>
    <t xml:space="preserve">Priority (you)</t>
  </si>
  <si>
    <t xml:space="preserve">Razorpay</t>
  </si>
  <si>
    <t xml:space="preserve">Payments fintech</t>
  </si>
  <si>
    <t xml:space="preserve">Bengaluru</t>
  </si>
  <si>
    <t xml:space="preserve">https://in.linkedin.com/jobs/view/senior-product-manager-growth-at-razorpay-4416243265</t>
  </si>
  <si>
    <t xml:space="preserve">https://razorpay.com/careers/</t>
  </si>
  <si>
    <t xml:space="preserve">https://www.linkedin.com/jobs/search/?keywords=Razorpay&amp;location=India</t>
  </si>
  <si>
    <t xml:space="preserve">PhonePe</t>
  </si>
  <si>
    <t xml:space="preserve">Payments fintech (UPI)</t>
  </si>
  <si>
    <t xml:space="preserve">Product Management, Strategy</t>
  </si>
  <si>
    <t xml:space="preserve">https://in.linkedin.com/jobs/view/product-manager-at-phonepe-4397787803</t>
  </si>
  <si>
    <t xml:space="preserve">https://www.phonepe.com/careers/job-openings/</t>
  </si>
  <si>
    <t xml:space="preserve">https://www.linkedin.com/jobs/search/?keywords=PhonePe&amp;location=India</t>
  </si>
  <si>
    <t xml:space="preserve">Paytm</t>
  </si>
  <si>
    <t xml:space="preserve">Product Management, Growth</t>
  </si>
  <si>
    <t xml:space="preserve">Noida / Bengaluru</t>
  </si>
  <si>
    <t xml:space="preserve">https://jobs.lever.co/paytm/64241793-684f-4dde-9447-36a14e499d4e</t>
  </si>
  <si>
    <t xml:space="preserve">https://jobs.lever.co/paytm</t>
  </si>
  <si>
    <t xml:space="preserve">https://www.linkedin.com/jobs/search/?keywords=Paytm&amp;location=India</t>
  </si>
  <si>
    <t xml:space="preserve">Cashfree Payments</t>
  </si>
  <si>
    <t xml:space="preserve">Payment gateway</t>
  </si>
  <si>
    <t xml:space="preserve">https://careers.kula.ai/cashfree/18060-product-manager-2</t>
  </si>
  <si>
    <t xml:space="preserve">https://careers.kula.ai/cashfree</t>
  </si>
  <si>
    <t xml:space="preserve">https://www.linkedin.com/jobs/search/?keywords=Cashfree%20Payments&amp;location=India</t>
  </si>
  <si>
    <t xml:space="preserve">Juspay</t>
  </si>
  <si>
    <t xml:space="preserve">Payments infrastructure</t>
  </si>
  <si>
    <t xml:space="preserve">https://www.instahyre.com/job-74182-product-manager-apm-at-juspay-bangalore/</t>
  </si>
  <si>
    <t xml:space="preserve">https://in.linkedin.com/jobs/juspay-jobs</t>
  </si>
  <si>
    <t xml:space="preserve">https://www.linkedin.com/jobs/search/?keywords=Juspay&amp;location=India</t>
  </si>
  <si>
    <t xml:space="preserve">PayU India</t>
  </si>
  <si>
    <t xml:space="preserve">Bengaluru / Gurugram</t>
  </si>
  <si>
    <t xml:space="preserve">https://careers.payu.in/PayU/job/Bengaluru-Product-Manager-Merchant-Management/3966280/</t>
  </si>
  <si>
    <t xml:space="preserve">https://in.linkedin.com/jobs/payu-jobs</t>
  </si>
  <si>
    <t xml:space="preserve">https://www.linkedin.com/jobs/search/?keywords=PayU%20India&amp;location=India</t>
  </si>
  <si>
    <t xml:space="preserve">Pine Labs</t>
  </si>
  <si>
    <t xml:space="preserve">Merchant payments / acquiring</t>
  </si>
  <si>
    <t xml:space="preserve">Bengaluru / Noida</t>
  </si>
  <si>
    <t xml:space="preserve">https://www.instahyre.com/job-131077-product-manager-senior-product-manager-at-pine-labs-2-bangalore-noida/</t>
  </si>
  <si>
    <t xml:space="preserve">https://www.pinelabs.com/careers/open-jobs</t>
  </si>
  <si>
    <t xml:space="preserve">https://www.linkedin.com/jobs/search/?keywords=Pine%20Labs&amp;location=India</t>
  </si>
  <si>
    <t xml:space="preserve">BharatPe</t>
  </si>
  <si>
    <t xml:space="preserve">Merchant payments &amp; lending</t>
  </si>
  <si>
    <t xml:space="preserve">Gurugram / New Delhi</t>
  </si>
  <si>
    <t xml:space="preserve">https://jobs.insightpartners.com/companies/bharatpe-2/jobs/79697323-senior-product-manager</t>
  </si>
  <si>
    <t xml:space="preserve">https://in.linkedin.com/company/bharatpe/jobs</t>
  </si>
  <si>
    <t xml:space="preserve">https://www.linkedin.com/jobs/search/?keywords=BharatPe&amp;location=India</t>
  </si>
  <si>
    <t xml:space="preserve">MobiKwik</t>
  </si>
  <si>
    <t xml:space="preserve">Wallet / consumer payments</t>
  </si>
  <si>
    <t xml:space="preserve">Gurugram</t>
  </si>
  <si>
    <t xml:space="preserve">https://www.instahyre.com/job-116220-product-manager-at-mobikwik-2-gurgaon/</t>
  </si>
  <si>
    <t xml:space="preserve">https://www.mobikwik.com/careers</t>
  </si>
  <si>
    <t xml:space="preserve">https://www.linkedin.com/jobs/search/?keywords=MobiKwik&amp;location=India</t>
  </si>
  <si>
    <t xml:space="preserve">CRED</t>
  </si>
  <si>
    <t xml:space="preserve">Credit card payments / fintech</t>
  </si>
  <si>
    <t xml:space="preserve">https://startup.jobs/product-manager-growth-cred_club-3005748</t>
  </si>
  <si>
    <t xml:space="preserve">https://careers.cred.club/openings</t>
  </si>
  <si>
    <t xml:space="preserve">https://www.linkedin.com/jobs/search/?keywords=CRED&amp;location=India</t>
  </si>
  <si>
    <t xml:space="preserve">Zeta</t>
  </si>
  <si>
    <t xml:space="preserve">Card issuing / processing (Tachyon)</t>
  </si>
  <si>
    <t xml:space="preserve">https://jobs.lever.co/zeta/8623c195-f912-4d87-952f-7114cd258413</t>
  </si>
  <si>
    <t xml:space="preserve">https://jobs.lever.co/zeta</t>
  </si>
  <si>
    <t xml:space="preserve">https://www.linkedin.com/jobs/search/?keywords=Zeta&amp;location=India</t>
  </si>
  <si>
    <t xml:space="preserve">M2P Fintech</t>
  </si>
  <si>
    <t xml:space="preserve">Card issuing / BaaS</t>
  </si>
  <si>
    <t xml:space="preserve">Chennai / Bengaluru</t>
  </si>
  <si>
    <t xml:space="preserve">https://www.iimjobs.com/j/m-2-p-fintech-product-manager-3-6-yrs-1420797</t>
  </si>
  <si>
    <t xml:space="preserve">https://careers.m2pfintech.com/</t>
  </si>
  <si>
    <t xml:space="preserve">https://www.linkedin.com/jobs/search/?keywords=M2P%20Fintech&amp;location=India</t>
  </si>
  <si>
    <t xml:space="preserve">NPCI (National Payments Corporation of India)</t>
  </si>
  <si>
    <t xml:space="preserve">Payment system operator (UPI, RuPay, IMPS)</t>
  </si>
  <si>
    <t xml:space="preserve">Mumbai / Hyderabad / Chennai / Delhi</t>
  </si>
  <si>
    <t xml:space="preserve">https://www.npci.org.in/work-with-us/current-openings</t>
  </si>
  <si>
    <t xml:space="preserve">https://www.linkedin.com/jobs/search/?keywords=NPCI&amp;location=India</t>
  </si>
  <si>
    <t xml:space="preserve">Google (Google Pay India)</t>
  </si>
  <si>
    <t xml:space="preserve">Big tech payments (UPI)</t>
  </si>
  <si>
    <t xml:space="preserve">Growth, Strategy, Product Management</t>
  </si>
  <si>
    <t xml:space="preserve">Bengaluru / Gurugram / India</t>
  </si>
  <si>
    <t xml:space="preserve">https://www.google.com/about/careers/applications/jobs/results/130049272241365702-strategic-partnerships-development-manager/</t>
  </si>
  <si>
    <t xml:space="preserve">https://www.google.com/about/careers/applications/jobs/results/?location=India&amp;q=Google%20Pay</t>
  </si>
  <si>
    <t xml:space="preserve">https://www.linkedin.com/jobs/search/?keywords=Google&amp;location=India</t>
  </si>
  <si>
    <t xml:space="preserve">Amazon Pay India</t>
  </si>
  <si>
    <t xml:space="preserve">Big tech payments (UPI, wallet)</t>
  </si>
  <si>
    <t xml:space="preserve">https://www.amazon.jobs/en/jobs/10439650/product-manager-amazon-pay-core-payments-acceptance</t>
  </si>
  <si>
    <t xml:space="preserve">https://www.amazon.jobs/en/search?base_query=amazon+pay&amp;loc_query=India</t>
  </si>
  <si>
    <t xml:space="preserve">https://www.linkedin.com/jobs/search/?keywords=Amazon%20Pay%20India&amp;location=India</t>
  </si>
  <si>
    <t xml:space="preserve">Airtel Payments Bank</t>
  </si>
  <si>
    <t xml:space="preserve">Payments bank</t>
  </si>
  <si>
    <t xml:space="preserve">https://www.iimjobs.com/j/airtel-payments-bank-product-manager-payments-1269762</t>
  </si>
  <si>
    <t xml:space="preserve">https://www.naukri.com/airtel-payments-bank-jobs-in-gurgaon-gurugram</t>
  </si>
  <si>
    <t xml:space="preserve">https://www.linkedin.com/jobs/search/?keywords=Airtel%20Payments%20Bank&amp;location=India</t>
  </si>
  <si>
    <t xml:space="preserve">Jio Financial Services (Jio Payments Bank)</t>
  </si>
  <si>
    <t xml:space="preserve">Payments bank / NBFC</t>
  </si>
  <si>
    <t xml:space="preserve">Navi Mumbai</t>
  </si>
  <si>
    <t xml:space="preserve">https://www.jobaaj.com/job/fin-financial-services-product-manager-upi-acquisition-jio-payments-bank-navi-mumbai-maharashtra-0-to-1-years-777846</t>
  </si>
  <si>
    <t xml:space="preserve">https://in.linkedin.com/company/jiofinser/jobs</t>
  </si>
  <si>
    <t xml:space="preserve">https://www.linkedin.com/jobs/search/?keywords=Jio%20Financial%20Services&amp;location=India</t>
  </si>
  <si>
    <t xml:space="preserve">Visa</t>
  </si>
  <si>
    <t xml:space="preserve">Card network</t>
  </si>
  <si>
    <t xml:space="preserve">Product Management, Consulting</t>
  </si>
  <si>
    <t xml:space="preserve">https://visa.wd5.myworkdayjobs.com/Visa/job/IN---Bengaluru-India/Product-Manager_REF084709W</t>
  </si>
  <si>
    <t xml:space="preserve">https://in.linkedin.com/jobs/visa-inc-jobs</t>
  </si>
  <si>
    <t xml:space="preserve">https://www.linkedin.com/jobs/search/?keywords=Visa&amp;location=India</t>
  </si>
  <si>
    <t xml:space="preserve">Mastercard</t>
  </si>
  <si>
    <t xml:space="preserve">Consulting, Product Management</t>
  </si>
  <si>
    <t xml:space="preserve">Gurugram / India (verify location) / Gurugram (verify)</t>
  </si>
  <si>
    <t xml:space="preserve">https://careers.mastercard.com/us/en/job/R-273100/Managing-Consultant-Advisors-Consulting-Services-Strategy-Transformation</t>
  </si>
  <si>
    <t xml:space="preserve">https://careers.mastercard.com/us/en/c/consulting-jobs</t>
  </si>
  <si>
    <t xml:space="preserve">https://www.linkedin.com/jobs/search/?keywords=Mastercard&amp;location=India</t>
  </si>
  <si>
    <t xml:space="preserve">American Express</t>
  </si>
  <si>
    <t xml:space="preserve">Card issuer / network</t>
  </si>
  <si>
    <t xml:space="preserve">https://careers.americanexpress.com/en/sites/CX_1/job/26009305/</t>
  </si>
  <si>
    <t xml:space="preserve">https://jobs.americanexpress.com/india/jobs</t>
  </si>
  <si>
    <t xml:space="preserve">https://www.linkedin.com/jobs/search/?keywords=American%20Express&amp;location=India</t>
  </si>
  <si>
    <t xml:space="preserve">PayPal</t>
  </si>
  <si>
    <t xml:space="preserve">Global payments</t>
  </si>
  <si>
    <t xml:space="preserve">Bengaluru / Chennai</t>
  </si>
  <si>
    <t xml:space="preserve">https://builtin.com/job/lead-product-manager/7204079</t>
  </si>
  <si>
    <t xml:space="preserve">https://careers.pypl.com/categories/product-management/</t>
  </si>
  <si>
    <t xml:space="preserve">https://www.linkedin.com/jobs/search/?keywords=PayPal&amp;location=India</t>
  </si>
  <si>
    <t xml:space="preserve">Stripe</t>
  </si>
  <si>
    <t xml:space="preserve">Bengaluru (verify location) / APAC (verify India eligibility)</t>
  </si>
  <si>
    <t xml:space="preserve">https://stripe.com/careers/listing/product-manager-e-invoicing/8041655</t>
  </si>
  <si>
    <t xml:space="preserve">https://www.bayt.com/en/india/jobs/stripe-jobs-in-bengaluru/</t>
  </si>
  <si>
    <t xml:space="preserve">https://www.linkedin.com/jobs/search/?keywords=Stripe&amp;location=India</t>
  </si>
  <si>
    <t xml:space="preserve">Adyen</t>
  </si>
  <si>
    <t xml:space="preserve">Global payments / acquiring</t>
  </si>
  <si>
    <t xml:space="preserve">Bengaluru / Mumbai</t>
  </si>
  <si>
    <t xml:space="preserve">https://careers.adyen.com/locations/bengaluru</t>
  </si>
  <si>
    <t xml:space="preserve">https://careers.adyen.com/vacancies</t>
  </si>
  <si>
    <t xml:space="preserve">https://www.linkedin.com/jobs/search/?keywords=Adyen&amp;location=India</t>
  </si>
  <si>
    <t xml:space="preserve">HDFC Bank</t>
  </si>
  <si>
    <t xml:space="preserve">Bank (cards &amp; payments)</t>
  </si>
  <si>
    <t xml:space="preserve">Mumbai</t>
  </si>
  <si>
    <t xml:space="preserve">https://in.linkedin.com/jobs/hdfc-bank-product-management-jobs</t>
  </si>
  <si>
    <t xml:space="preserve">https://www.hdfcbank.com/personal/about-us/careers</t>
  </si>
  <si>
    <t xml:space="preserve">https://www.linkedin.com/jobs/search/?keywords=HDFC%20Bank&amp;location=India</t>
  </si>
  <si>
    <t xml:space="preserve">ICICI Bank</t>
  </si>
  <si>
    <t xml:space="preserve">https://www.iimjobs.com/j/icici-bank-product-manager-cards-iim-mdi-isb-fms-1-10-yrs-879114</t>
  </si>
  <si>
    <t xml:space="preserve">https://www.linkedin.com/jobs/search/?keywords=ICICI%20Bank&amp;location=India</t>
  </si>
  <si>
    <t xml:space="preserve">Axis Bank</t>
  </si>
  <si>
    <t xml:space="preserve">https://www.iimjobs.com/j/axis-bank-product-manager-payments-products-3-12-yrs-863888</t>
  </si>
  <si>
    <t xml:space="preserve">https://www.axisbank.com/careers-new</t>
  </si>
  <si>
    <t xml:space="preserve">https://www.linkedin.com/jobs/search/?keywords=Axis%20Bank&amp;location=India</t>
  </si>
  <si>
    <t xml:space="preserve">Kotak Mahindra Bank</t>
  </si>
  <si>
    <t xml:space="preserve">https://www.livelaw.in/job-updates/product-manager-vacancy-at-kotak-mahindra-bank-limited-536900</t>
  </si>
  <si>
    <t xml:space="preserve">https://www.linkedin.com/company/kotak-mahindra-bank</t>
  </si>
  <si>
    <t xml:space="preserve">https://www.linkedin.com/jobs/search/?keywords=Kotak%20Mahindra%20Bank&amp;location=India</t>
  </si>
  <si>
    <t xml:space="preserve">SBI Card</t>
  </si>
  <si>
    <t xml:space="preserve">Card issuer</t>
  </si>
  <si>
    <t xml:space="preserve">https://in.linkedin.com/jobs/view/product-manager-gurgaon-at-sbi-cards-and-payment-services-private-limited-202611397</t>
  </si>
  <si>
    <t xml:space="preserve">https://in.linkedin.com/jobs/sbi-card-jobs-gurugram</t>
  </si>
  <si>
    <t xml:space="preserve">https://www.linkedin.com/jobs/search/?keywords=SBI%20Card&amp;location=India</t>
  </si>
  <si>
    <t xml:space="preserve">JPMorgan Chase</t>
  </si>
  <si>
    <t xml:space="preserve">Global bank (payments / treasury)</t>
  </si>
  <si>
    <t xml:space="preserve">Mumbai / Bengaluru</t>
  </si>
  <si>
    <t xml:space="preserve">https://www.themuse.com/jobs/jpmorganchase/india-trade-product-manager-payments-executive-director</t>
  </si>
  <si>
    <t xml:space="preserve">https://in.linkedin.com/jobs/jpmorgan-chase-jobs</t>
  </si>
  <si>
    <t xml:space="preserve">https://www.linkedin.com/jobs/search/?keywords=JPMorgan%20Chase&amp;location=India</t>
  </si>
  <si>
    <t xml:space="preserve">Bank of America</t>
  </si>
  <si>
    <t xml:space="preserve">https://www.themuse.com/jobs/bankofamerica/upto-director-trade-product-manager-global-payments-solutions-india</t>
  </si>
  <si>
    <t xml:space="preserve">https://www.linkedin.com/jobs/search/?keywords=Bank%20of%20America&amp;location=India</t>
  </si>
  <si>
    <t xml:space="preserve">Citi</t>
  </si>
  <si>
    <t xml:space="preserve">https://jobs.citi.com/job/mumbai/services-full-time-analyst-india-2026/287/89151139152</t>
  </si>
  <si>
    <t xml:space="preserve">https://jobs.citi.com/pune</t>
  </si>
  <si>
    <t xml:space="preserve">https://www.linkedin.com/jobs/search/?keywords=Citi&amp;location=India</t>
  </si>
  <si>
    <t xml:space="preserve">HSBC</t>
  </si>
  <si>
    <t xml:space="preserve">Mumbai / Bengaluru / Pune</t>
  </si>
  <si>
    <t xml:space="preserve">https://portal.careers.hsbc.com/careers?location=India</t>
  </si>
  <si>
    <t xml:space="preserve">https://www.linkedin.com/jobs/search/?keywords=HSBC&amp;location=India</t>
  </si>
  <si>
    <t xml:space="preserve">Standard Chartered</t>
  </si>
  <si>
    <t xml:space="preserve">Mumbai / Bengaluru / Chennai</t>
  </si>
  <si>
    <t xml:space="preserve">https://www.sc.com/en/global-careers/experienced-hire/spotlight-career-opportunities/careers-in-india/</t>
  </si>
  <si>
    <t xml:space="preserve">https://in.linkedin.com/jobs/standard-chartered-bank-jobs-bengaluru</t>
  </si>
  <si>
    <t xml:space="preserve">https://www.linkedin.com/jobs/search/?keywords=Standard%20Chartered&amp;location=India</t>
  </si>
  <si>
    <t xml:space="preserve">Barclays</t>
  </si>
  <si>
    <t xml:space="preserve">Pune</t>
  </si>
  <si>
    <t xml:space="preserve">https://search.jobs.barclays/job/pune/transaction-banking-product-manager-payments-and-foreign-exchange-vp/13015/82655573792</t>
  </si>
  <si>
    <t xml:space="preserve">https://search.jobs.barclays/location/pune-maharashtra-india-jobs/13015/1269750-1264418-1259229/4</t>
  </si>
  <si>
    <t xml:space="preserve">https://www.linkedin.com/jobs/search/?keywords=Barclays&amp;location=India</t>
  </si>
  <si>
    <t xml:space="preserve">Deutsche Bank</t>
  </si>
  <si>
    <t xml:space="preserve">https://builtin.com/job/product-management/4458908</t>
  </si>
  <si>
    <t xml:space="preserve">https://careers.db.com/explore-the-bank/locations/asia-pacific/pune</t>
  </si>
  <si>
    <t xml:space="preserve">https://www.linkedin.com/jobs/search/?keywords=Deutsche%20Bank&amp;location=India</t>
  </si>
  <si>
    <t xml:space="preserve">Fiserv</t>
  </si>
  <si>
    <t xml:space="preserve">Payments processor / fintech tech</t>
  </si>
  <si>
    <t xml:space="preserve">https://careers.fiserv.com/us/en/job/FFFYJUSR10391581EXTERNALENUS/B2B-Product-Manager-Senior-Product-Manager</t>
  </si>
  <si>
    <t xml:space="preserve">https://careers.fiserv.com/us/en</t>
  </si>
  <si>
    <t xml:space="preserve">https://www.linkedin.com/jobs/search/?keywords=Fiserv&amp;location=India</t>
  </si>
  <si>
    <t xml:space="preserve">FIS</t>
  </si>
  <si>
    <t xml:space="preserve">Pune / Bengaluru / Chennai / India (verify location)</t>
  </si>
  <si>
    <t xml:space="preserve">https://builtin.com/job/technology-business-consultant-specialist-cards-and-payments-domain/4056670</t>
  </si>
  <si>
    <t xml:space="preserve">https://careers.fisglobal.com/us/en</t>
  </si>
  <si>
    <t xml:space="preserve">https://www.linkedin.com/jobs/search/?keywords=FIS&amp;location=India</t>
  </si>
  <si>
    <t xml:space="preserve">Worldline India</t>
  </si>
  <si>
    <t xml:space="preserve">Payments processor / acquiring</t>
  </si>
  <si>
    <t xml:space="preserve">https://www.ziprecruiter.in/jobs/538586594-product-manager-at-worldline-global-services</t>
  </si>
  <si>
    <t xml:space="preserve">https://worldline.com/en-in/home/top-navigation/career</t>
  </si>
  <si>
    <t xml:space="preserve">https://www.linkedin.com/jobs/search/?keywords=Worldline%20India&amp;location=India</t>
  </si>
  <si>
    <t xml:space="preserve">ACI Worldwide</t>
  </si>
  <si>
    <t xml:space="preserve">Real-time payments software</t>
  </si>
  <si>
    <t xml:space="preserve">Bengaluru / Pune</t>
  </si>
  <si>
    <t xml:space="preserve">https://in.linkedin.com/jobs/aci-worldwide-jobs</t>
  </si>
  <si>
    <t xml:space="preserve">https://www.aciworldwide.com/about-aci/careers</t>
  </si>
  <si>
    <t xml:space="preserve">https://www.linkedin.com/jobs/search/?keywords=ACI%20Worldwide&amp;location=India</t>
  </si>
  <si>
    <t xml:space="preserve">McKinsey &amp; Company</t>
  </si>
  <si>
    <t xml:space="preserve">Strategy consulting (MBB)</t>
  </si>
  <si>
    <t xml:space="preserve">India (check location)</t>
  </si>
  <si>
    <t xml:space="preserve">https://mckinsey.com/careers/search-jobs/jobs/capabilitiesandinsightsanalyst-panoramafinancialinstitutionscenter-97040</t>
  </si>
  <si>
    <t xml:space="preserve">https://www.mckinsey.com/in/careers-in-india</t>
  </si>
  <si>
    <t xml:space="preserve">https://www.linkedin.com/jobs/search/?keywords=McKinsey%20%26%20Company&amp;location=India</t>
  </si>
  <si>
    <t xml:space="preserve">Boston Consulting Group (BCG)</t>
  </si>
  <si>
    <t xml:space="preserve">Mumbai / Gurugram / Bengaluru / Chennai / Hyderabad</t>
  </si>
  <si>
    <t xml:space="preserve">https://careers.bcg.com/global/en/locations/india</t>
  </si>
  <si>
    <t xml:space="preserve">https://www.linkedin.com/jobs/search/?keywords=Boston%20Consulting%20Group&amp;location=India</t>
  </si>
  <si>
    <t xml:space="preserve">Bain &amp; Company</t>
  </si>
  <si>
    <t xml:space="preserve">https://www.bain.com/careers/find-a-role/position/?jobid=102140</t>
  </si>
  <si>
    <t xml:space="preserve">https://www.bain.com/careers/</t>
  </si>
  <si>
    <t xml:space="preserve">https://www.linkedin.com/jobs/search/?keywords=Bain%20%26%20Company&amp;location=India</t>
  </si>
  <si>
    <t xml:space="preserve">Accenture Strategy &amp; Consulting</t>
  </si>
  <si>
    <t xml:space="preserve">Strategy &amp; business consulting</t>
  </si>
  <si>
    <t xml:space="preserve">Consulting, Business Consulting</t>
  </si>
  <si>
    <t xml:space="preserve">India / Gurugram / Mumbai / Bengaluru / Delhi</t>
  </si>
  <si>
    <t xml:space="preserve">https://www.accenture.com/us-en/careers/jobdetails?id=R00284179_en</t>
  </si>
  <si>
    <t xml:space="preserve">https://www.accenture.com/in-en/careers/explore-careers/area-of-interest/strategy-careers</t>
  </si>
  <si>
    <t xml:space="preserve">https://www.linkedin.com/jobs/search/?keywords=Accenture%20Strategy%20%26%20Consulting&amp;location=India</t>
  </si>
  <si>
    <t xml:space="preserve">Deloitte India</t>
  </si>
  <si>
    <t xml:space="preserve">Big 4 consulting</t>
  </si>
  <si>
    <t xml:space="preserve">https://southasiacareers.deloitte.com/job/Bengaluru-Consultant-Financial-Services-Mumbai-Customer-Strategy-&amp;-Design/54711044</t>
  </si>
  <si>
    <t xml:space="preserve">https://southasiacareers.deloitte.com/</t>
  </si>
  <si>
    <t xml:space="preserve">https://www.linkedin.com/jobs/search/?keywords=Deloitte%20India&amp;location=India</t>
  </si>
  <si>
    <t xml:space="preserve">EY India</t>
  </si>
  <si>
    <t xml:space="preserve">Consulting, Business Consulting, Strategy</t>
  </si>
  <si>
    <t xml:space="preserve">Mumbai / Delhi / Bengaluru / Gurugram</t>
  </si>
  <si>
    <t xml:space="preserve">https://careers.ey.com/ey/job/Mumbai-Senior-Consultant-Business-Consulting-PI-FS-CNS-BC-Marketing-Sales-&amp;-Service-Bangalore-MH-400028/1366215433/</t>
  </si>
  <si>
    <t xml:space="preserve">https://www.ey.com/en_in/careers/consulting</t>
  </si>
  <si>
    <t xml:space="preserve">https://www.linkedin.com/jobs/search/?keywords=EY%20India&amp;location=India</t>
  </si>
  <si>
    <t xml:space="preserve">PwC India</t>
  </si>
  <si>
    <t xml:space="preserve">https://bebee.com/in/jobs/in-associate-fs-consulting-financial-services-advisory-mumbai-pwc-india-mumbai-city--fj-2137359807</t>
  </si>
  <si>
    <t xml:space="preserve">https://www.pwc.in/careers/job-search.html</t>
  </si>
  <si>
    <t xml:space="preserve">https://www.linkedin.com/jobs/search/?keywords=PwC%20India&amp;location=India</t>
  </si>
  <si>
    <t xml:space="preserve">KPMG India</t>
  </si>
  <si>
    <t xml:space="preserve">Gurugram / Mumbai</t>
  </si>
  <si>
    <t xml:space="preserve">https://www.foundit.in/search/kpmg-jobs-in-gurgaon-gurugram</t>
  </si>
  <si>
    <t xml:space="preserve">https://kpmg.com/in/en/careers.html</t>
  </si>
  <si>
    <t xml:space="preserve">https://www.linkedin.com/jobs/search/?keywords=KPMG%20India&amp;location=India</t>
  </si>
  <si>
    <t xml:space="preserve">Kearney</t>
  </si>
  <si>
    <t xml:space="preserve">Strategy consulting</t>
  </si>
  <si>
    <t xml:space="preserve">Mumbai / Gurugram</t>
  </si>
  <si>
    <t xml:space="preserve">https://www.kearney.com/about/locations/india/careers</t>
  </si>
  <si>
    <t xml:space="preserve">https://www.kearney.com/careers/opportunities</t>
  </si>
  <si>
    <t xml:space="preserve">https://www.linkedin.com/jobs/search/?keywords=Kearney&amp;location=India</t>
  </si>
  <si>
    <t xml:space="preserve">Oliver Wyman</t>
  </si>
  <si>
    <t xml:space="preserve">Strategy consulting (FS specialist)</t>
  </si>
  <si>
    <t xml:space="preserve">India (check office)</t>
  </si>
  <si>
    <t xml:space="preserve">https://www.oliverwyman.com/careers.html</t>
  </si>
  <si>
    <t xml:space="preserve">https://www.linkedin.com/jobs/search/?keywords=Oliver%20Wyman&amp;location=India</t>
  </si>
  <si>
    <t xml:space="preserve">Simon-Kucher</t>
  </si>
  <si>
    <t xml:space="preserve">Pricing &amp; growth consulting</t>
  </si>
  <si>
    <t xml:space="preserve">https://www.simon-kucher.com/en/careers</t>
  </si>
  <si>
    <t xml:space="preserve">https://www.simon-kucher.com/en/country/india</t>
  </si>
  <si>
    <t xml:space="preserve">https://www.linkedin.com/jobs/search/?keywords=Simon-Kucher&amp;location=India</t>
  </si>
  <si>
    <t xml:space="preserve">Redseer Strategy Consultants</t>
  </si>
  <si>
    <t xml:space="preserve">Strategy consulting (India, fintech focus)</t>
  </si>
  <si>
    <t xml:space="preserve">https://www.naukri.com/redseer-consulting-jobs-careers-703413</t>
  </si>
  <si>
    <t xml:space="preserve">https://in.linkedin.com/company/redseer</t>
  </si>
  <si>
    <t xml:space="preserve">https://www.linkedin.com/jobs/search/?keywords=Redseer%20Strategy%20Consultants&amp;location=India</t>
  </si>
  <si>
    <t xml:space="preserve">Grant Thornton Bharat</t>
  </si>
  <si>
    <t xml:space="preserve">Consulting (FS consulting)</t>
  </si>
  <si>
    <t xml:space="preserve">Gurugram / Mumbai / Bengaluru</t>
  </si>
  <si>
    <t xml:space="preserve">https://www.grantthornton.in/current-opportunities/</t>
  </si>
  <si>
    <t xml:space="preserve">https://www.grantthornton.in/services/consulting/business-consulting/financial-services-consulting/</t>
  </si>
  <si>
    <t xml:space="preserve">https://www.linkedin.com/jobs/search/?keywords=Grant%20Thornton%20Bharat&amp;location=India</t>
  </si>
  <si>
    <t xml:space="preserve">Capgemini Invent</t>
  </si>
  <si>
    <t xml:space="preserve">Mumbai / Bengaluru / Gurugram</t>
  </si>
  <si>
    <t xml:space="preserve">https://www.capgemini.com/in-en/careers/</t>
  </si>
  <si>
    <t xml:space="preserve">https://in.linkedin.com/company/capgemini/jobs</t>
  </si>
  <si>
    <t xml:space="preserve">https://www.linkedin.com/jobs/search/?keywords=Capgemini%20Invent&amp;location=India</t>
  </si>
  <si>
    <t xml:space="preserve">Praxis Global Alliance</t>
  </si>
  <si>
    <t xml:space="preserve">Strategy consulting (India)</t>
  </si>
  <si>
    <t xml:space="preserve">https://bebee.com/in/jobs/praxis-global-alliance-consultant-praxis-global-alliance-mumbai-maharashtra--t7xk-780504220</t>
  </si>
  <si>
    <t xml:space="preserve">https://www.praxisga.com/career</t>
  </si>
  <si>
    <t xml:space="preserve">https://www.linkedin.com/jobs/search/?keywords=Praxis%20Global%20Alliance&amp;location=India</t>
  </si>
  <si>
    <t xml:space="preserve">Roland Berger</t>
  </si>
  <si>
    <t xml:space="preserve">Mumbai / New Delhi</t>
  </si>
  <si>
    <t xml:space="preserve">https://www.rolandberger.com/en/Join/All-Jobs/</t>
  </si>
  <si>
    <t xml:space="preserve">https://www.rolandberger.com/en/India/</t>
  </si>
  <si>
    <t xml:space="preserve">https://www.linkedin.com/jobs/search/?keywords=Roland%20Berger&amp;location=India</t>
  </si>
  <si>
    <t xml:space="preserve">Wise</t>
  </si>
  <si>
    <t xml:space="preserve">Hyderabad</t>
  </si>
  <si>
    <t xml:space="preserve">https://wise.jobs/job/product-lead-india-in-hyderabad-jid-1795</t>
  </si>
  <si>
    <t xml:space="preserve">https://wise.jobs/posts/tags/hyderabad</t>
  </si>
  <si>
    <t xml:space="preserve">https://www.linkedin.com/jobs/search/?keywords=Wise&amp;location=India</t>
  </si>
  <si>
    <t xml:space="preserve">Nium</t>
  </si>
  <si>
    <t xml:space="preserve">Cross-border payments infrastructure</t>
  </si>
  <si>
    <t xml:space="preserve">Bengaluru / Chennai / Mumbai</t>
  </si>
  <si>
    <t xml:space="preserve">https://www.instahyre.com/job-197944-principal-product-manager-at-nium-bangalore-chennai-mumbai/</t>
  </si>
  <si>
    <t xml:space="preserve">https://www.nium.com/careers</t>
  </si>
  <si>
    <t xml:space="preserve">https://www.linkedin.com/jobs/search/?keywords=Nium&amp;location=India</t>
  </si>
  <si>
    <t xml:space="preserve">Payoneer</t>
  </si>
  <si>
    <t xml:space="preserve">Growth, Product Management</t>
  </si>
  <si>
    <t xml:space="preserve">https://startup.jobs/program-growth-manager-payoneer-2-8053174</t>
  </si>
  <si>
    <t xml:space="preserve">https://careers.payoneer.com/</t>
  </si>
  <si>
    <t xml:space="preserve">https://www.linkedin.com/jobs/search/?keywords=Payoneer&amp;location=India</t>
  </si>
  <si>
    <t xml:space="preserve">Western Union</t>
  </si>
  <si>
    <t xml:space="preserve">Cross-border remittances</t>
  </si>
  <si>
    <t xml:space="preserve">https://careers.westernunion.com/job-details/13699957/manager-product-delivery-pune-in/</t>
  </si>
  <si>
    <t xml:space="preserve">https://careers.westernunion.com/india/</t>
  </si>
  <si>
    <t xml:space="preserve">https://www.linkedin.com/jobs/search/?keywords=Western%20Union&amp;location=India</t>
  </si>
  <si>
    <t xml:space="preserve">Airwallex</t>
  </si>
  <si>
    <t xml:space="preserve">Cross-border payments / business accounts</t>
  </si>
  <si>
    <t xml:space="preserve">https://www.glassdoor.co.in/Jobs/Airwallex-Jobs-E1831889.htm</t>
  </si>
  <si>
    <t xml:space="preserve">https://careers.airwallex.com/jobs/</t>
  </si>
  <si>
    <t xml:space="preserve">https://www.linkedin.com/jobs/search/?keywords=Airwallex&amp;location=India</t>
  </si>
  <si>
    <t xml:space="preserve">Open Financial Technologies</t>
  </si>
  <si>
    <t xml:space="preserve">Business banking &amp; payments (neo-banking for SMEs)</t>
  </si>
  <si>
    <t xml:space="preserve">https://www.instahyre.com/job-249880-lead-product-manager-at-open-financial-technologies-bangalore/</t>
  </si>
  <si>
    <t xml:space="preserve">https://www.linkedin.com/jobs/search/?keywords=Open%20Financial%20Technologies&amp;location=India</t>
  </si>
  <si>
    <t xml:space="preserve">Easebuzz</t>
  </si>
  <si>
    <t xml:space="preserve">Payment aggregator</t>
  </si>
  <si>
    <t xml:space="preserve">https://startup.jobs/chief-product-officer-easebuzz-6440327</t>
  </si>
  <si>
    <t xml:space="preserve">https://easebuzz.in/careers/</t>
  </si>
  <si>
    <t xml:space="preserve">https://www.linkedin.com/jobs/search/?keywords=Easebuzz&amp;location=India</t>
  </si>
  <si>
    <t xml:space="preserve">Wipro</t>
  </si>
  <si>
    <t xml:space="preserve">IT services &amp; consulting (payments practice)</t>
  </si>
  <si>
    <t xml:space="preserve">Chennai / Pune / Bengaluru</t>
  </si>
  <si>
    <t xml:space="preserve">https://www.themuse.com/jobs/wipro/consulting-partner-payments-2d9ff3</t>
  </si>
  <si>
    <t xml:space="preserve">https://careers.wipro.com/content/Experienced-Professionals/?locale=en_US</t>
  </si>
  <si>
    <t xml:space="preserve">https://www.linkedin.com/jobs/search/?keywords=Wipro&amp;location=India</t>
  </si>
  <si>
    <t xml:space="preserve">Capco</t>
  </si>
  <si>
    <t xml:space="preserve">FS consulting (Wipro-owned)</t>
  </si>
  <si>
    <t xml:space="preserve">Pune / Bengaluru</t>
  </si>
  <si>
    <t xml:space="preserve">https://job-boards.greenhouse.io/capco/jobs/7278632</t>
  </si>
  <si>
    <t xml:space="preserve">https://job-boards.greenhouse.io/capco</t>
  </si>
  <si>
    <t xml:space="preserve">https://www.linkedin.com/jobs/search/?keywords=Capco&amp;location=India</t>
  </si>
  <si>
    <t xml:space="preserve">Genpact</t>
  </si>
  <si>
    <t xml:space="preserve">Operations &amp; analytics consulting</t>
  </si>
  <si>
    <t xml:space="preserve">Gurugram / Bengaluru / Mumbai / Hyderabad / Pune</t>
  </si>
  <si>
    <t xml:space="preserve">https://in.linkedin.com/jobs/genpact-jobs</t>
  </si>
  <si>
    <t xml:space="preserve">https://www.linkedin.com/company/genpact</t>
  </si>
  <si>
    <t xml:space="preserve">https://www.linkedin.com/jobs/search/?keywords=Genpact&amp;location=India</t>
  </si>
  <si>
    <t xml:space="preserve">IDFC FIRST Bank</t>
  </si>
  <si>
    <t xml:space="preserve">https://www.instahyre.com/job-320485-product-manager-at-idfc-first-bank-mumbai/</t>
  </si>
  <si>
    <t xml:space="preserve">https://careers.idfcfirstbank.com/in/en/c/product-program-management-strategy-jobs</t>
  </si>
  <si>
    <t xml:space="preserve">https://www.linkedin.com/jobs/search/?keywords=IDFC%20FIRST%20Bank&amp;location=India</t>
  </si>
  <si>
    <t xml:space="preserve">RBL Bank</t>
  </si>
  <si>
    <t xml:space="preserve">https://www.iimjobs.com/j/rbl-bank-campaign-management-credit-cards-1349125</t>
  </si>
  <si>
    <t xml:space="preserve">https://www.rbl.bank.in/careers</t>
  </si>
  <si>
    <t xml:space="preserve">https://www.linkedin.com/jobs/search/?keywords=RBL%20Bank&amp;location=India</t>
  </si>
  <si>
    <t xml:space="preserve">super.money (Flipkart)</t>
  </si>
  <si>
    <t xml:space="preserve">https://www.jobaaj.com/job/supermoney-product-manager-bengaluru-bangalore-karnataka-2-to-4-years-1280733</t>
  </si>
  <si>
    <t xml:space="preserve">https://in.linkedin.com/company/getsupermoney</t>
  </si>
  <si>
    <t xml:space="preserve">https://www.linkedin.com/jobs/search/?keywords=super.money&amp;location=India</t>
  </si>
  <si>
    <t xml:space="preserve">Navi</t>
  </si>
  <si>
    <t xml:space="preserve">Payments &amp; lending fintech (UPI)</t>
  </si>
  <si>
    <t xml:space="preserve">https://www.uplers.com/company/navi-4688</t>
  </si>
  <si>
    <t xml:space="preserve">https://in.linkedin.com/company/go-navi</t>
  </si>
  <si>
    <t xml:space="preserve">https://www.linkedin.com/jobs/search/?keywords=Navi&amp;location=India</t>
  </si>
  <si>
    <t xml:space="preserve">OneCard (FPL Technologies)</t>
  </si>
  <si>
    <t xml:space="preserve">Credit card fintech</t>
  </si>
  <si>
    <t xml:space="preserve">https://wellfound.com/company/getonecard/jobs</t>
  </si>
  <si>
    <t xml:space="preserve">https://www.getonecard.app/careers/</t>
  </si>
  <si>
    <t xml:space="preserve">https://www.linkedin.com/jobs/search/?keywords=OneCard&amp;location=India</t>
  </si>
  <si>
    <t xml:space="preserve">Goldman Sachs</t>
  </si>
  <si>
    <t xml:space="preserve">Global bank (transaction banking)</t>
  </si>
  <si>
    <t xml:space="preserve">https://getmereferred.com/job-listing/transaction-bankingbengaluruvice-presidentproduct-management-goldman-sachs-bengaluru-8-to-10-years-experience-8565e99d-1089-440f-9a61-ba71584cdb85</t>
  </si>
  <si>
    <t xml:space="preserve">https://higher.gs.com/</t>
  </si>
  <si>
    <t xml:space="preserve">https://www.linkedin.com/jobs/search/?keywords=Goldman%20Sachs&amp;location=India</t>
  </si>
  <si>
    <t xml:space="preserve">Wells Fargo</t>
  </si>
  <si>
    <t xml:space="preserve">Global bank (cards &amp; payments)</t>
  </si>
  <si>
    <t xml:space="preserve">https://www.wellsfargojobs.com/en/jobs/r-539367/senior-digital-product-manager/</t>
  </si>
  <si>
    <t xml:space="preserve">https://wf.wd1.myworkdayjobs.com/WellsFargoJobs</t>
  </si>
  <si>
    <t xml:space="preserve">https://www.linkedin.com/jobs/search/?keywords=Wells%20Fargo&amp;location=India</t>
  </si>
  <si>
    <t xml:space="preserve">Synchrony</t>
  </si>
  <si>
    <t xml:space="preserve">Card issuer (consumer credit)</t>
  </si>
  <si>
    <t xml:space="preserve">https://builtin.com/job/sr-analyst-data-analytics-and-insights-performance-marketing-l08/7654082</t>
  </si>
  <si>
    <t xml:space="preserve">https://www.linkedin.com/jobs/search/?keywords=Synchrony&amp;location=India</t>
  </si>
  <si>
    <t xml:space="preserve">NatWest Group</t>
  </si>
  <si>
    <t xml:space="preserve">Global bank (payments)</t>
  </si>
  <si>
    <t xml:space="preserve">Bengaluru / Gurugram / Chennai</t>
  </si>
  <si>
    <t xml:space="preserve">https://jobs.natwestgroup.com/search/product-and-proposition/jobs/in/country/india</t>
  </si>
  <si>
    <t xml:space="preserve">https://jobs.natwestgroup.com/pages/india</t>
  </si>
  <si>
    <t xml:space="preserve">https://www.linkedin.com/jobs/search/?keywords=NatWest%20Group&amp;location=India</t>
  </si>
  <si>
    <t xml:space="preserve">BNY</t>
  </si>
  <si>
    <t xml:space="preserve">Global bank (payments &amp; treasury services)</t>
  </si>
  <si>
    <t xml:space="preserve">Pune / Chennai</t>
  </si>
  <si>
    <t xml:space="preserve">https://www.glassdoor.co.in/Jobs/BNY-Jobs-E78.htm</t>
  </si>
  <si>
    <t xml:space="preserve">https://www.bny.com/corporate/global/en/careers.html/</t>
  </si>
  <si>
    <t xml:space="preserve">https://www.linkedin.com/jobs/search/?keywords=BNY&amp;location=India</t>
  </si>
  <si>
    <t xml:space="preserve">Intellect Design Arena</t>
  </si>
  <si>
    <t xml:space="preserve">Banking &amp; payments software</t>
  </si>
  <si>
    <t xml:space="preserve">Chennai / Mumbai / Bengaluru</t>
  </si>
  <si>
    <t xml:space="preserve">https://in.linkedin.com/jobs/intellect-design-arena-ltd-jobs</t>
  </si>
  <si>
    <t xml:space="preserve">https://www.intellectdesign.com/</t>
  </si>
  <si>
    <t xml:space="preserve">https://www.linkedin.com/jobs/search/?keywords=Intellect%20Design%20Arena&amp;location=India</t>
  </si>
  <si>
    <t xml:space="preserve">Financial Software and Systems (FSS)</t>
  </si>
  <si>
    <t xml:space="preserve">Payments software &amp; processing</t>
  </si>
  <si>
    <t xml:space="preserve">Chennai</t>
  </si>
  <si>
    <t xml:space="preserve">https://www.uplers.com/company/fss-5393</t>
  </si>
  <si>
    <t xml:space="preserve">https://www.linkedin.com/jobs/search/?keywords=Financial%20Software%20and%20Systems&amp;location=India</t>
  </si>
  <si>
    <t xml:space="preserve">Hitachi Payment Services</t>
  </si>
  <si>
    <t xml:space="preserve">Payments processing (POS, ATM, UPI)</t>
  </si>
  <si>
    <t xml:space="preserve">https://workopia.io/jobs/a203a50af0c0bbdec79f11bc6c643aed</t>
  </si>
  <si>
    <t xml:space="preserve">https://www.uplers.com/company/hitachi-payment-services-pvt-ltd-12393</t>
  </si>
  <si>
    <t xml:space="preserve">https://www.linkedin.com/jobs/search/?keywords=Hitachi%20Payment%20Services&amp;location=India</t>
  </si>
  <si>
    <t xml:space="preserve">NPCI Bharat BillPay (NBBL / Bharat Connect)</t>
  </si>
  <si>
    <t xml:space="preserve">Payment system operator (bill payments)</t>
  </si>
  <si>
    <t xml:space="preserve">https://www.bharat-connect.com/careers/apply/</t>
  </si>
  <si>
    <t xml:space="preserve">https://in.linkedin.com/company/bharat-billpay</t>
  </si>
  <si>
    <t xml:space="preserve">https://www.linkedin.com/jobs/search/?keywords=NPCI%20Bharat%20BillPay&amp;location=India</t>
  </si>
  <si>
    <t xml:space="preserve">Fino Payments Bank</t>
  </si>
  <si>
    <t xml:space="preserve">https://www.iimjobs.com/company/fino-payments-bank-careers</t>
  </si>
  <si>
    <t xml:space="preserve">https://www.fino.bank.in/company/careers</t>
  </si>
  <si>
    <t xml:space="preserve">https://www.linkedin.com/jobs/search/?keywords=Fino%20Payments%20Bank&amp;location=India</t>
  </si>
  <si>
    <t xml:space="preserve">EnKash</t>
  </si>
  <si>
    <t xml:space="preserve">B2B payments &amp; corporate cards</t>
  </si>
  <si>
    <t xml:space="preserve">Bengaluru / Gurugram / Mumbai</t>
  </si>
  <si>
    <t xml:space="preserve">https://www.instahyre.com/job-116137-product-manager-senior-product-manager-at-enkash-bangalore-gurgaon-mumbai/</t>
  </si>
  <si>
    <t xml:space="preserve">https://www.linkedin.com/jobs/search/?keywords=EnKash&amp;location=India</t>
  </si>
  <si>
    <t xml:space="preserve">Hyperface</t>
  </si>
  <si>
    <t xml:space="preserve">Credit-card-as-a-service platform</t>
  </si>
  <si>
    <t xml:space="preserve">https://www.instahyre.com/job-299429-associate-product-manager-at-hyperface-bangalore/</t>
  </si>
  <si>
    <t xml:space="preserve">https://www.linkedin.com/jobs/search/?keywords=Hyperface&amp;location=India</t>
  </si>
  <si>
    <t xml:space="preserve">Zaggle</t>
  </si>
  <si>
    <t xml:space="preserve">B2B spend management &amp; prepaid cards</t>
  </si>
  <si>
    <t xml:space="preserve">https://www.instahyre.com/job-307355-business-head-at-zaggle-mumbai/</t>
  </si>
  <si>
    <t xml:space="preserve">https://www.uplers.com/company/zaggle-3962</t>
  </si>
  <si>
    <t xml:space="preserve">https://www.linkedin.com/jobs/search/?keywords=Zaggle&amp;location=India</t>
  </si>
  <si>
    <t xml:space="preserve">Innoviti Payment Solutions</t>
  </si>
  <si>
    <t xml:space="preserve">Payment aggregator / POS</t>
  </si>
  <si>
    <t xml:space="preserve">https://www.instahyre.com/jobs-at-innoviti-payment-solutions/</t>
  </si>
  <si>
    <t xml:space="preserve">https://cutshort.io/company/innoviti-payment-solutions-iopb4uFm</t>
  </si>
  <si>
    <t xml:space="preserve">https://www.linkedin.com/jobs/search/?keywords=Innoviti%20Payment%20Solutions&amp;location=India</t>
  </si>
  <si>
    <t xml:space="preserve">Finzly</t>
  </si>
  <si>
    <t xml:space="preserve">Payments software (banking payments hub)</t>
  </si>
  <si>
    <t xml:space="preserve">Chennai / Pune</t>
  </si>
  <si>
    <t xml:space="preserve">https://finzly.com/careers/product-manager/chennai-pune-india/</t>
  </si>
  <si>
    <t xml:space="preserve">https://www.linkedin.com/jobs/search/?keywords=Finzly&amp;location=India</t>
  </si>
  <si>
    <t xml:space="preserve">EdgeVerve (Infosys Finacle)</t>
  </si>
  <si>
    <t xml:space="preserve">https://in.expertini.com/jobs/in/infosys-finacle-payments-product-management-bengaluru-infosys-finacle/</t>
  </si>
  <si>
    <t xml:space="preserve">https://www.edgeverve.com/careers/</t>
  </si>
  <si>
    <t xml:space="preserve">https://www.linkedin.com/jobs/search/?keywords=EdgeVerve&amp;location=India</t>
  </si>
  <si>
    <t xml:space="preserve">Finastra</t>
  </si>
  <si>
    <t xml:space="preserve">https://www.glassdoor.com/Jobs/Finastra-Bangalore-Jobs-EI_IE1689268.0,8_IL.9,18_IM1091.htm</t>
  </si>
  <si>
    <t xml:space="preserve">https://careers.finastra.com/jobs</t>
  </si>
  <si>
    <t xml:space="preserve">https://www.linkedin.com/jobs/search/?keywords=Finastra&amp;location=India</t>
  </si>
  <si>
    <t xml:space="preserve">Alvarez &amp; Marsal</t>
  </si>
  <si>
    <t xml:space="preserve">Management consulting</t>
  </si>
  <si>
    <t xml:space="preserve">Mumbai / Gurugram / Bengaluru</t>
  </si>
  <si>
    <t xml:space="preserve">https://careers.alvarezandmarsal.com/search/jobs/in/country/india</t>
  </si>
  <si>
    <t xml:space="preserve">https://careers.alvarezandmarsal.com/</t>
  </si>
  <si>
    <t xml:space="preserve">https://www.linkedin.com/jobs/search/?keywords=Alvarez%20%26%20Marsal&amp;location=India</t>
  </si>
  <si>
    <t xml:space="preserve">Bajaj Finserv</t>
  </si>
  <si>
    <t xml:space="preserve">NBFC / fintech (payments &amp; UPI)</t>
  </si>
  <si>
    <t xml:space="preserve">https://in.linkedin.com/jobs/view/unit-manager-payments-upi-senior-unit-manager-payments-upi-at-bajaj-finserv-4034756746</t>
  </si>
  <si>
    <t xml:space="preserve">https://in.linkedin.com/jobs/bajaj-finserv-digital-product-manager-jobs</t>
  </si>
  <si>
    <t xml:space="preserve">https://www.linkedin.com/jobs/search/?keywords=Bajaj%20Finserv&amp;location=India</t>
  </si>
  <si>
    <t xml:space="preserve">IndusInd Bank</t>
  </si>
  <si>
    <t xml:space="preserve">https://iimjobs.com/j/indusind-bank-product-manager-digital-payments-4-8-yrs-1226962.html</t>
  </si>
  <si>
    <t xml:space="preserve">https://www.linkedin.com/jobs/search/?keywords=IndusInd%20Bank&amp;location=India</t>
  </si>
  <si>
    <t xml:space="preserve">Yes Bank</t>
  </si>
  <si>
    <t xml:space="preserve">Bank (payments &amp; UPI)</t>
  </si>
  <si>
    <t xml:space="preserve">https://www.iimjobs.com/yes-bank-careers</t>
  </si>
  <si>
    <t xml:space="preserve">https://in.linkedin.com/jobs/yes-bank-jobs-mumbai-metropolitan-region</t>
  </si>
  <si>
    <t xml:space="preserve">https://www.linkedin.com/jobs/search/?keywords=Yes%20Bank&amp;location=India</t>
  </si>
  <si>
    <t xml:space="preserve">Jupiter Money</t>
  </si>
  <si>
    <t xml:space="preserve">Neobank / payments</t>
  </si>
  <si>
    <t xml:space="preserve">https://www.instahyre.com/job-131755-product-manager-at-jupiter-2-bangalore/</t>
  </si>
  <si>
    <t xml:space="preserve">https://www.linkedin.com/jobs/search/?keywords=Jupiter%20Money&amp;location=India</t>
  </si>
  <si>
    <t xml:space="preserve">Fi Money</t>
  </si>
  <si>
    <t xml:space="preserve">https://cutshort.io/job/Intern-Product-Management-Bengaluru-Bangalore-Fi-Money-LoeMgFiB</t>
  </si>
  <si>
    <t xml:space="preserve">https://www.linkedin.com/jobs/search/?keywords=Fi%20Money&amp;location=India</t>
  </si>
  <si>
    <t xml:space="preserve">Decentro</t>
  </si>
  <si>
    <t xml:space="preserve">Banking &amp; payments APIs</t>
  </si>
  <si>
    <t xml:space="preserve">https://wellfound.com/jobs/1069063-product-manager</t>
  </si>
  <si>
    <t xml:space="preserve">https://www.linkedin.com/jobs/search/?keywords=Decentro&amp;location=India</t>
  </si>
  <si>
    <t xml:space="preserve">Cognizant</t>
  </si>
  <si>
    <t xml:space="preserve">IT services &amp; consulting (BFS practice)</t>
  </si>
  <si>
    <t xml:space="preserve">Chennai / Bengaluru / Pune</t>
  </si>
  <si>
    <t xml:space="preserve">https://careers.cognizant.com/us-en/jobs/00066270001/cards-and-payments-business-analyst/</t>
  </si>
  <si>
    <t xml:space="preserve">https://careers.cognizant.com/india-en/</t>
  </si>
  <si>
    <t xml:space="preserve">https://www.linkedin.com/jobs/search/?keywords=Cognizant&amp;location=India</t>
  </si>
  <si>
    <t xml:space="preserve">Tata Consultancy Services (TCS)</t>
  </si>
  <si>
    <t xml:space="preserve">IT services &amp; consulting (BFSI)</t>
  </si>
  <si>
    <t xml:space="preserve">Delhi NCR</t>
  </si>
  <si>
    <t xml:space="preserve">https://www.jobaaj.com/job/tata-consultancy-services-limited-bfsi-analyst-delhi-ncr-1-to-2-years-582906</t>
  </si>
  <si>
    <t xml:space="preserve">https://www.tcs.com/careers/india</t>
  </si>
  <si>
    <t xml:space="preserve">https://www.linkedin.com/jobs/search/?keywords=Tata%20Consultancy%20Services&amp;location=India</t>
  </si>
  <si>
    <t xml:space="preserve">slice</t>
  </si>
  <si>
    <t xml:space="preserve">Payments fintech (UPI &amp; credit)</t>
  </si>
  <si>
    <t xml:space="preserve">https://www.instahyre.com/job-110024-product-manager-upi-at-slice-bangalore/</t>
  </si>
  <si>
    <t xml:space="preserve">https://www.linkedin.com/jobs/search/?keywords=slice&amp;location=India</t>
  </si>
  <si>
    <t xml:space="preserve">Tazapay</t>
  </si>
  <si>
    <t xml:space="preserve">New Delhi / Bengaluru</t>
  </si>
  <si>
    <t xml:space="preserve">https://tazapay.freshteam.com/jobs</t>
  </si>
  <si>
    <t xml:space="preserve">https://tazapay.com/careers</t>
  </si>
  <si>
    <t xml:space="preserve">https://www.linkedin.com/jobs/search/?keywords=Tazapay&amp;location=India</t>
  </si>
  <si>
    <t xml:space="preserve">Temenos</t>
  </si>
  <si>
    <t xml:space="preserve">Bengaluru / Chennai / Hyderabad</t>
  </si>
  <si>
    <t xml:space="preserve">https://in.linkedin.com/jobs/temenos-jobs</t>
  </si>
  <si>
    <t xml:space="preserve">https://temenos.wd103.myworkdayjobs.com/Temenoscareers</t>
  </si>
  <si>
    <t xml:space="preserve">https://www.linkedin.com/jobs/search/?keywords=Temenos&amp;location=India</t>
  </si>
  <si>
    <t xml:space="preserve">Protiviti India</t>
  </si>
  <si>
    <t xml:space="preserve">Business &amp; risk consulting (BFSI)</t>
  </si>
  <si>
    <t xml:space="preserve">https://www.naukri.com/protiviti-jobs</t>
  </si>
  <si>
    <t xml:space="preserve">https://in.linkedin.com/company/protiviti-india-member-firm</t>
  </si>
  <si>
    <t xml:space="preserve">https://www.linkedin.com/jobs/search/?keywords=Protiviti%20India&amp;location=India</t>
  </si>
  <si>
    <t xml:space="preserve">Uni Cards</t>
  </si>
  <si>
    <t xml:space="preserve">https://www.instahyre.com/job-120279-product-manager-at-uni-cards-2-bangalore/</t>
  </si>
  <si>
    <t xml:space="preserve">https://www.linkedin.com/jobs/search/?keywords=Uni%20Cards&amp;location=India</t>
  </si>
  <si>
    <t xml:space="preserve">Groww</t>
  </si>
  <si>
    <t xml:space="preserve">Investing &amp; payments fintech (UPI)</t>
  </si>
  <si>
    <t xml:space="preserve">https://www.instahyre.com/job-414204-product-manager-at-groww-2-bangalore/</t>
  </si>
  <si>
    <t xml:space="preserve">https://www.uplers.com/company/groww-8773</t>
  </si>
  <si>
    <t xml:space="preserve">https://www.linkedin.com/jobs/search/?keywords=Groww&amp;location=India</t>
  </si>
  <si>
    <t xml:space="preserve">Role / posting title</t>
  </si>
  <si>
    <t xml:space="preserve">Role focus</t>
  </si>
  <si>
    <t xml:space="preserve">Location</t>
  </si>
  <si>
    <t xml:space="preserve">Job link</t>
  </si>
  <si>
    <t xml:space="preserve">Link type</t>
  </si>
  <si>
    <t xml:space="preserve">Found on</t>
  </si>
  <si>
    <t xml:space="preserve">Company careers / all jobs</t>
  </si>
  <si>
    <t xml:space="preserve">Before applying</t>
  </si>
  <si>
    <t xml:space="preserve">Application status (you)</t>
  </si>
  <si>
    <t xml:space="preserve">Notes (you)</t>
  </si>
  <si>
    <t xml:space="preserve">S&amp;C - Financial Services Consultant/Manager (Banking)</t>
  </si>
  <si>
    <t xml:space="preserve">Consulting / Strategy</t>
  </si>
  <si>
    <t xml:space="preserve">India</t>
  </si>
  <si>
    <t xml:space="preserve">Specific job posting</t>
  </si>
  <si>
    <t xml:space="preserve">Company careers (official)</t>
  </si>
  <si>
    <t xml:space="preserve">Confirm still open</t>
  </si>
  <si>
    <t xml:space="preserve">Not applied</t>
  </si>
  <si>
    <t xml:space="preserve">GN Banking - Trade Finance Consultant</t>
  </si>
  <si>
    <t xml:space="preserve">https://www.accenture.com/us-en/careers/jobdetails?id=R00305688_en</t>
  </si>
  <si>
    <t xml:space="preserve">GN Banking - Data &amp; AI Analyst</t>
  </si>
  <si>
    <t xml:space="preserve">Consulting / Analytics</t>
  </si>
  <si>
    <t xml:space="preserve">Delhi / Gurugram / Mumbai</t>
  </si>
  <si>
    <t xml:space="preserve">https://www.accenture.com/us-en/careers/jobdetails?id=R00305675_en</t>
  </si>
  <si>
    <t xml:space="preserve">Consulting roles in India (164 openings listed)</t>
  </si>
  <si>
    <t xml:space="preserve">Careers / search page</t>
  </si>
  <si>
    <t xml:space="preserve">Analyst - Financial Services (FS Centre of Expertise)</t>
  </si>
  <si>
    <t xml:space="preserve">Consulting / Research</t>
  </si>
  <si>
    <t xml:space="preserve">Associate - Financial Services (FS Centre of Expertise)</t>
  </si>
  <si>
    <t xml:space="preserve">https://www.bain.com/careers/find-a-role/position/?jobid=90399</t>
  </si>
  <si>
    <t xml:space="preserve">Consultant / Associate - Financial Institutions practice (India jobs page)</t>
  </si>
  <si>
    <t xml:space="preserve">Business Analyst - Payments domain</t>
  </si>
  <si>
    <t xml:space="preserve">Greenhouse (company ATS)</t>
  </si>
  <si>
    <t xml:space="preserve">Consulting roles (India careers)</t>
  </si>
  <si>
    <t xml:space="preserve">Cards and Payments Business Analyst</t>
  </si>
  <si>
    <t xml:space="preserve">Consulting Analyst</t>
  </si>
  <si>
    <t xml:space="preserve">https://careers.cognizant.com/india-en/jobs/00066859891/consulting-analyst/</t>
  </si>
  <si>
    <t xml:space="preserve">Consultant | Financial Services | Customer Strategy &amp; Design</t>
  </si>
  <si>
    <t xml:space="preserve">Senior Consultant | BA - General Banking | Customer Strategy &amp; Design</t>
  </si>
  <si>
    <t xml:space="preserve">https://southasiacareers.deloitte.com/job/Bengaluru-Senior-Consultant-BA-General-Banking-Bengaluru-Customer-Strategy-&amp;-Design/58394444/</t>
  </si>
  <si>
    <t xml:space="preserve">Senior Consultant - Customer Strategy &amp; Design - FX</t>
  </si>
  <si>
    <t xml:space="preserve">https://southasiacareers.deloitte.com/job/Bengaluru-T&amp;T-Customer-Customer-Strategy-&amp;-Design-Senior-Consultant-FX-PM/54382744/</t>
  </si>
  <si>
    <t xml:space="preserve">Senior Consultant - Business Consulting - FS (payments team: cards, acquiring, RTP, cross-border)</t>
  </si>
  <si>
    <t xml:space="preserve">Mumbai / Delhi / Bengaluru</t>
  </si>
  <si>
    <t xml:space="preserve">Consultant - Business Consulting - FS - Marketing, Sales &amp; Service</t>
  </si>
  <si>
    <t xml:space="preserve">https://www.ziprecruiter.in/jobs/607454079-consultant-business-consulting-pi-fs-cns-bc-marketing-sales-service-mumbai-at-ernst-young</t>
  </si>
  <si>
    <t xml:space="preserve">ZipRecruiter India</t>
  </si>
  <si>
    <t xml:space="preserve">EY-Parthenon strategy roles (India)</t>
  </si>
  <si>
    <t xml:space="preserve">https://www.ey.com/en_in/careers/parthenon</t>
  </si>
  <si>
    <t xml:space="preserve">https://in.linkedin.com/jobs/ey-parthenon-jobs</t>
  </si>
  <si>
    <t xml:space="preserve">Assistant Manager - Payment Systems Intelligence (search page)</t>
  </si>
  <si>
    <t xml:space="preserve">Business Consulting / Analytics</t>
  </si>
  <si>
    <t xml:space="preserve">LinkedIn search</t>
  </si>
  <si>
    <t xml:space="preserve">Financial Services Consulting roles</t>
  </si>
  <si>
    <t xml:space="preserve">Consultant / Associate (India careers)</t>
  </si>
  <si>
    <t xml:space="preserve">Consulting / FS advisory roles (Gurugram &amp; Mumbai search)</t>
  </si>
  <si>
    <t xml:space="preserve">Consulting / Business Consulting</t>
  </si>
  <si>
    <t xml:space="preserve">Foundit search</t>
  </si>
  <si>
    <t xml:space="preserve">Capabilities &amp; Insights Analyst - Panorama Financial Institutions Center</t>
  </si>
  <si>
    <t xml:space="preserve">Consultant roles - Financial Services practice</t>
  </si>
  <si>
    <t xml:space="preserve">Consultant</t>
  </si>
  <si>
    <t xml:space="preserve">BeBee</t>
  </si>
  <si>
    <t xml:space="preserve">Consulting roles incl. financial services (211 vacancies listed)</t>
  </si>
  <si>
    <t xml:space="preserve">Naukri</t>
  </si>
  <si>
    <t xml:space="preserve">Associate - FS Consulting - Financial Services Advisory</t>
  </si>
  <si>
    <t xml:space="preserve">Associate Consultant / Consultant (fintech &amp; payments practice)</t>
  </si>
  <si>
    <t xml:space="preserve">Consultant roles (all jobs, filter India)</t>
  </si>
  <si>
    <t xml:space="preserve">Consultant - pricing / commercial strategy (incl. financial services)</t>
  </si>
  <si>
    <t xml:space="preserve">Consulting / Pricing</t>
  </si>
  <si>
    <t xml:space="preserve">BFSI Analyst</t>
  </si>
  <si>
    <t xml:space="preserve">Jobaaj</t>
  </si>
  <si>
    <t xml:space="preserve">Consulting Partner - Payments</t>
  </si>
  <si>
    <t xml:space="preserve">Consulting (senior)</t>
  </si>
  <si>
    <t xml:space="preserve">The Muse</t>
  </si>
  <si>
    <t xml:space="preserve">Managing Consultant (Payments domain solution architect)</t>
  </si>
  <si>
    <t xml:space="preserve">Pune / Bengaluru / Chennai</t>
  </si>
  <si>
    <t xml:space="preserve">https://themuse.com/jobs/wipro/managing-consultant-9c3fee</t>
  </si>
  <si>
    <t xml:space="preserve">Domain Consultant roles (search page)</t>
  </si>
  <si>
    <t xml:space="preserve">Bengaluru / Chennai / Pune</t>
  </si>
  <si>
    <t xml:space="preserve">https://in.linkedin.com/jobs/wipro-domain-consultant-jobs</t>
  </si>
  <si>
    <t xml:space="preserve">Unit Manager - Payments - UPI / Senior Unit Manager</t>
  </si>
  <si>
    <t xml:space="preserve">Product Management / Growth</t>
  </si>
  <si>
    <t xml:space="preserve">LinkedIn</t>
  </si>
  <si>
    <t xml:space="preserve">Manager - Digital Product Finance - Growth</t>
  </si>
  <si>
    <t xml:space="preserve">Growth / Product</t>
  </si>
  <si>
    <t xml:space="preserve">https://unstop.com/jobs/manager-digital-product-finance-growth-bajaj-finserv-1118854</t>
  </si>
  <si>
    <t xml:space="preserve">Unstop</t>
  </si>
  <si>
    <t xml:space="preserve">Senior Product Manager (merchant lending)</t>
  </si>
  <si>
    <t xml:space="preserve">Insight Partners job board</t>
  </si>
  <si>
    <t xml:space="preserve">Product Manager-2 (UPI &amp; Digital Payments)</t>
  </si>
  <si>
    <t xml:space="preserve">Company careers (Kula)</t>
  </si>
  <si>
    <t xml:space="preserve">Product Manager - Growth Platform</t>
  </si>
  <si>
    <t xml:space="preserve">https://startup.jobs/product-manager-growth-platform-cashfree-3691649</t>
  </si>
  <si>
    <t xml:space="preserve">startup.jobs</t>
  </si>
  <si>
    <t xml:space="preserve">Product Manager - Growth</t>
  </si>
  <si>
    <t xml:space="preserve">Product Manager (Platform)</t>
  </si>
  <si>
    <t xml:space="preserve">https://startup.jobs/product-manager-platform-cred_club-7797651</t>
  </si>
  <si>
    <t xml:space="preserve">Product Manager</t>
  </si>
  <si>
    <t xml:space="preserve">Wellfound</t>
  </si>
  <si>
    <t xml:space="preserve">Chief Product Officer</t>
  </si>
  <si>
    <t xml:space="preserve">Product Management (leadership)</t>
  </si>
  <si>
    <t xml:space="preserve">Product Manager / Senior Product Manager</t>
  </si>
  <si>
    <t xml:space="preserve">Instahyre</t>
  </si>
  <si>
    <t xml:space="preserve">Intern - Product Management</t>
  </si>
  <si>
    <t xml:space="preserve">Product Management (internship)</t>
  </si>
  <si>
    <t xml:space="preserve">Cutshort</t>
  </si>
  <si>
    <t xml:space="preserve">Product Manager (check if payments/UPI team)</t>
  </si>
  <si>
    <t xml:space="preserve">Associate Product Manager</t>
  </si>
  <si>
    <t xml:space="preserve">Open roles (company jobs page)</t>
  </si>
  <si>
    <t xml:space="preserve">Product / Business</t>
  </si>
  <si>
    <t xml:space="preserve">Product Manager / APM</t>
  </si>
  <si>
    <t xml:space="preserve">Business Development Manager</t>
  </si>
  <si>
    <t xml:space="preserve">Growth / Business</t>
  </si>
  <si>
    <t xml:space="preserve">https://in.linkedin.com/jobs/view/business-development-manager-at-juspay-4441197291</t>
  </si>
  <si>
    <t xml:space="preserve">Product Manager (Payments)</t>
  </si>
  <si>
    <t xml:space="preserve">iimjobs</t>
  </si>
  <si>
    <t xml:space="preserve">Associate Director - Payments</t>
  </si>
  <si>
    <t xml:space="preserve">Product Management / Strategy</t>
  </si>
  <si>
    <t xml:space="preserve">https://bebee.com/in/jobs/associate-director-payments-m2p-fintech-chennai-tamil-nadu--t7xk-798903653</t>
  </si>
  <si>
    <t xml:space="preserve">Product Manager (Consumer Payments - Recharge &amp; Bill Pay)</t>
  </si>
  <si>
    <t xml:space="preserve">Manager - Growth Marketing</t>
  </si>
  <si>
    <t xml:space="preserve">https://www.iimjobs.com/j/one-mobikwik-systems-manager-growth-marketing-1674275</t>
  </si>
  <si>
    <t xml:space="preserve">Open roles incl. product &amp; growth (25 open positions listed)</t>
  </si>
  <si>
    <t xml:space="preserve">Product / Growth</t>
  </si>
  <si>
    <t xml:space="preserve">Uplers</t>
  </si>
  <si>
    <t xml:space="preserve">Open roles (careers page)</t>
  </si>
  <si>
    <t xml:space="preserve">Lead Product Manager</t>
  </si>
  <si>
    <t xml:space="preserve">Senior Product Manager</t>
  </si>
  <si>
    <t xml:space="preserve">https://www.foundit.in/job/senior-product-manager-open-financial-technologies-bengaluru-bangalore-39061518</t>
  </si>
  <si>
    <t xml:space="preserve">Foundit</t>
  </si>
  <si>
    <t xml:space="preserve">Senior Product Manager - UPI</t>
  </si>
  <si>
    <t xml:space="preserve">Lever (company ATS)</t>
  </si>
  <si>
    <t xml:space="preserve">Senior Manager - User Growth (UPI)</t>
  </si>
  <si>
    <t xml:space="preserve">https://jobs.lever.co/paytm/96a54691-f0c2-46d8-88d1-ee0a84b3b046</t>
  </si>
  <si>
    <t xml:space="preserve">AVP - Growth Management (Paytm for Business)</t>
  </si>
  <si>
    <t xml:space="preserve">https://jobs.lever.co/paytm/5d6ad294-c8ac-49b6-9142-e7d67cb6af8a</t>
  </si>
  <si>
    <t xml:space="preserve">Business Product Manager - Risk &amp; Compliance (Paytm Payments Services)</t>
  </si>
  <si>
    <t xml:space="preserve">Noida</t>
  </si>
  <si>
    <t xml:space="preserve">https://jobs.lever.co/paytmpayments/bfa2ae56-2653-4c57-b612-626e38b1bfba</t>
  </si>
  <si>
    <t xml:space="preserve">https://jobs.lever.co/paytmpayments</t>
  </si>
  <si>
    <t xml:space="preserve">Product Manager - Merchant Management</t>
  </si>
  <si>
    <t xml:space="preserve">Company careers</t>
  </si>
  <si>
    <t xml:space="preserve">Product Manager - PPI</t>
  </si>
  <si>
    <t xml:space="preserve">https://careers.payu.in/PayU/job/Gurgaon-Product-Manager-PPI/4097880/</t>
  </si>
  <si>
    <t xml:space="preserve">Manager - Collections Strategy &amp; Planning</t>
  </si>
  <si>
    <t xml:space="preserve">https://job-boards.greenhouse.io/phonepe/jobs/6547928003</t>
  </si>
  <si>
    <t xml:space="preserve">Senior Product Manager (Growth)</t>
  </si>
  <si>
    <t xml:space="preserve">Product Manager II</t>
  </si>
  <si>
    <t xml:space="preserve">https://in.linkedin.com/jobs/view/product-manager-ii-at-razorpay-4420907605</t>
  </si>
  <si>
    <t xml:space="preserve">Product Manager - UPI</t>
  </si>
  <si>
    <t xml:space="preserve">https://www.instahyre.com/job-322245-product-manager-at-slice-bangalore/</t>
  </si>
  <si>
    <t xml:space="preserve">Product Manager-II</t>
  </si>
  <si>
    <t xml:space="preserve">https://cutshort.io/job/Product-Manager-II-Bengaluru-Bangalore-Uni-Cards-gCREBX2R</t>
  </si>
  <si>
    <t xml:space="preserve">Business Head</t>
  </si>
  <si>
    <t xml:space="preserve">Product Manager - Payments</t>
  </si>
  <si>
    <t xml:space="preserve">Product Manager (Analytics background)</t>
  </si>
  <si>
    <t xml:space="preserve">https://www.foundit.in/job/product-manager-analytics-background-airtel-payments-bank-gurugram-58673415</t>
  </si>
  <si>
    <t xml:space="preserve">Product Manager - Salary &amp; MFI</t>
  </si>
  <si>
    <t xml:space="preserve">https://www.iimjobs.com/j/airtel-payments-bank-product-manager-salary-mfi-1604171</t>
  </si>
  <si>
    <t xml:space="preserve">Product Manager - Payments Products</t>
  </si>
  <si>
    <t xml:space="preserve">RB - Cards: Product Manager - Digital Payments Team</t>
  </si>
  <si>
    <t xml:space="preserve">https://in.expertini.com/jobs/in/rb-cardsproduct-manager-digital-payments-team-mumbai-axis-bank/</t>
  </si>
  <si>
    <t xml:space="preserve">Expertini</t>
  </si>
  <si>
    <t xml:space="preserve">RB - Cards: Debit Cards Product Manager</t>
  </si>
  <si>
    <t xml:space="preserve">https://www.foundit.in/job/rb-cards-debit-cards-product-manager-axis-bank-mumbai-36445272</t>
  </si>
  <si>
    <t xml:space="preserve">Trade Product Manager, Global Payments Solutions India (up to Director)</t>
  </si>
  <si>
    <t xml:space="preserve">Transaction Banking Product Manager - Payments &amp; Foreign Exchange (VP)</t>
  </si>
  <si>
    <t xml:space="preserve">Barclaycard Payments Product Manager (AVP)</t>
  </si>
  <si>
    <t xml:space="preserve">https://search.jobs.barclays/job/pune/barclaycard-payments-product-manager-avp/13015/82461453824</t>
  </si>
  <si>
    <t xml:space="preserve">Payments &amp; Treasury Services roles (mostly operations; filter for product/strategy)</t>
  </si>
  <si>
    <t xml:space="preserve">Business / Operations</t>
  </si>
  <si>
    <t xml:space="preserve">Glassdoor</t>
  </si>
  <si>
    <t xml:space="preserve">Services (Treasury &amp; Trade Solutions) - Full Time Analyst, India 2026</t>
  </si>
  <si>
    <t xml:space="preserve">Business / Strategy (entry)</t>
  </si>
  <si>
    <t xml:space="preserve">Product Management Senior Analyst (AVP)</t>
  </si>
  <si>
    <t xml:space="preserve">Built In</t>
  </si>
  <si>
    <t xml:space="preserve">Open roles (management roles on iimjobs)</t>
  </si>
  <si>
    <t xml:space="preserve">Product / Strategy / Growth</t>
  </si>
  <si>
    <t xml:space="preserve">Transaction Banking - Vice President - Product Management</t>
  </si>
  <si>
    <t xml:space="preserve">GetMeReferred</t>
  </si>
  <si>
    <t xml:space="preserve">Transaction Banking Division - Analyst - Product Management</t>
  </si>
  <si>
    <t xml:space="preserve">https://www.jobaaj.com/job/goldman-sachs-transaction-banking-division-bengaluru-analyst-product-management-bengaluru-3-to-5-years-31204</t>
  </si>
  <si>
    <t xml:space="preserve">Transaction Banking - Analyst - Risk Governance</t>
  </si>
  <si>
    <t xml:space="preserve">Strategy / Risk</t>
  </si>
  <si>
    <t xml:space="preserve">https://higher.gs.com/roles/152951</t>
  </si>
  <si>
    <t xml:space="preserve">Product Management roles incl. cards &amp; payments (search page)</t>
  </si>
  <si>
    <t xml:space="preserve">Global Payments Solutions &amp; product roles (India careers search)</t>
  </si>
  <si>
    <t xml:space="preserve">Product Manager - Cards</t>
  </si>
  <si>
    <t xml:space="preserve">Senior Product Manager - Credit Cards</t>
  </si>
  <si>
    <t xml:space="preserve">https://www.ziprecruiter.in/jobs/581532228-senior-product-manager-credit-cards-at-idfc-first-bank</t>
  </si>
  <si>
    <t xml:space="preserve">Product Manager - Digital Payments</t>
  </si>
  <si>
    <t xml:space="preserve">Product Manager - Commercial Cards</t>
  </si>
  <si>
    <t xml:space="preserve">https://www.iimjobs.com/j/indusind-bank-product-manager-commercial-cards-1006265</t>
  </si>
  <si>
    <t xml:space="preserve">Product Manager - UPI Acquisition (Jio Payments Bank)</t>
  </si>
  <si>
    <t xml:space="preserve">India Trade Product Manager - Payments (Executive Director)</t>
  </si>
  <si>
    <t xml:space="preserve">Product Manager - Vice President - Payments</t>
  </si>
  <si>
    <t xml:space="preserve">https://builtin.com/job/product-manager-vice-president-payments/7761270</t>
  </si>
  <si>
    <t xml:space="preserve">Product Manager (cards/payments regulatory product)</t>
  </si>
  <si>
    <t xml:space="preserve">LiveLaw jobs</t>
  </si>
  <si>
    <t xml:space="preserve">Product &amp; Proposition roles in India (search page)</t>
  </si>
  <si>
    <t xml:space="preserve">Campaign Management - Credit Cards</t>
  </si>
  <si>
    <t xml:space="preserve">Product Manager (co-brand card programs)</t>
  </si>
  <si>
    <t xml:space="preserve">Transaction banking &amp; payments roles (India careers page)</t>
  </si>
  <si>
    <t xml:space="preserve">Sr. Analyst, Data Analytics &amp; Insights - Performance Marketing</t>
  </si>
  <si>
    <t xml:space="preserve">Growth / Analytics</t>
  </si>
  <si>
    <t xml:space="preserve">Senior Digital Product Manager</t>
  </si>
  <si>
    <t xml:space="preserve">Open management roles (iimjobs company page)</t>
  </si>
  <si>
    <t xml:space="preserve">Product / Strategy</t>
  </si>
  <si>
    <t xml:space="preserve">Senior Manager - Digital Product Management</t>
  </si>
  <si>
    <t xml:space="preserve">Product Manager, Digital Payments</t>
  </si>
  <si>
    <t xml:space="preserve">https://www.jobaaj.com/job/american-express-product-manager-digital-payments-gurugram-3-to-5-years-709318</t>
  </si>
  <si>
    <t xml:space="preserve">Managing Consultant, Advisors &amp; Consulting Services - Strategy &amp; Transformation</t>
  </si>
  <si>
    <t xml:space="preserve">Managing Consultant, Advisors &amp; Consulting Services - Performance Analytics</t>
  </si>
  <si>
    <t xml:space="preserve">https://careers.mastercard.com/us/en/job/R-256853/Managing-Consultant-Advisors-Consulting-Services-Performance-Analytics</t>
  </si>
  <si>
    <t xml:space="preserve">Consultant, Advisors &amp; Consulting Services - Performance Analytics</t>
  </si>
  <si>
    <t xml:space="preserve">https://mastercard.wd1.myworkdayjobs.com/en-US/CorporateCareers/job/Gurgaon-India/Consultant--Advisors---Consulting-Services--Performance-Analytics_R-234535</t>
  </si>
  <si>
    <t xml:space="preserve">Company careers (Workday)</t>
  </si>
  <si>
    <t xml:space="preserve">https://www.jobaaj.com/job/mastercard-product-manager-digital-payments-gurugram-1-to-2-years-828231</t>
  </si>
  <si>
    <t xml:space="preserve">https://careers.mastercard.com/us/en/gurugram-india</t>
  </si>
  <si>
    <t xml:space="preserve">Associate Managing Consultant (Advisors &amp; Consulting Services)</t>
  </si>
  <si>
    <t xml:space="preserve">India (verify location)</t>
  </si>
  <si>
    <t xml:space="preserve">https://builtin.com/job/associate-managing-consultant-2/7641479</t>
  </si>
  <si>
    <t xml:space="preserve">Managing Consultant - Analytics (Advisors &amp; Consulting Services)</t>
  </si>
  <si>
    <t xml:space="preserve">Gurugram (verify)</t>
  </si>
  <si>
    <t xml:space="preserve">https://www.themuse.com/jobs/mastercard/managing-consultant-analytics</t>
  </si>
  <si>
    <t xml:space="preserve">Multiple roles incl. Products, Marketing, Business (Associate to Senior Lead)</t>
  </si>
  <si>
    <t xml:space="preserve">Careers - apply page (product &amp; business roles)</t>
  </si>
  <si>
    <t xml:space="preserve">Product Manager (card payments)</t>
  </si>
  <si>
    <t xml:space="preserve">https://www.themuse.com/jobs/visa/product-manager-payments-f864a3</t>
  </si>
  <si>
    <t xml:space="preserve">Data Scientist - Visa Consulting &amp; Analytics</t>
  </si>
  <si>
    <t xml:space="preserve">https://www.foundit.in/job/data-scientist-visa-consulting-analytics-visa-bengaluru-bangalore-52576776</t>
  </si>
  <si>
    <t xml:space="preserve">Open roles in India (Bengaluru office; product, commercial)</t>
  </si>
  <si>
    <t xml:space="preserve">Principal Product Manager</t>
  </si>
  <si>
    <t xml:space="preserve">Product Manager - Core</t>
  </si>
  <si>
    <t xml:space="preserve">https://www.instahyre.com/job-197929-product-manager-core-at-nium-bangalore-chennai-mumbai/</t>
  </si>
  <si>
    <t xml:space="preserve">Expansion Manager - Stablecoins</t>
  </si>
  <si>
    <t xml:space="preserve">Growth / Strategy</t>
  </si>
  <si>
    <t xml:space="preserve">https://in.linkedin.com/jobs/view/expansion-manager-%E2%80%94-stablecoins-at-nium-4432240767</t>
  </si>
  <si>
    <t xml:space="preserve">Program Growth Manager</t>
  </si>
  <si>
    <t xml:space="preserve">Senior Product Manager - Working Capital</t>
  </si>
  <si>
    <t xml:space="preserve">https://in.linkedin.com/jobs/view/senior-product-manager-working-capital-at-payoneer-4455321860</t>
  </si>
  <si>
    <t xml:space="preserve">https://in.linkedin.com/jobs/view/product-manager-at-payoneer-4367990869</t>
  </si>
  <si>
    <t xml:space="preserve">Product Manager, Merchant Experience</t>
  </si>
  <si>
    <t xml:space="preserve">Company careers (Freshteam)</t>
  </si>
  <si>
    <t xml:space="preserve">Manager, Product Delivery</t>
  </si>
  <si>
    <t xml:space="preserve">Assistant Manager, Product Management</t>
  </si>
  <si>
    <t xml:space="preserve">https://builtin.com/job/asst-mgr-product-management/3589704</t>
  </si>
  <si>
    <t xml:space="preserve">Product Lead - India</t>
  </si>
  <si>
    <t xml:space="preserve">Product Manager - APAC Onboarding &amp; KYC</t>
  </si>
  <si>
    <t xml:space="preserve">https://wise.jobs/job/product-manager-apac-onboarding-and-kyc-in-hyderabad-jid-2665</t>
  </si>
  <si>
    <t xml:space="preserve">Open roles - Bengaluru office (product, commercial, operations)</t>
  </si>
  <si>
    <t xml:space="preserve">Product / Commercial</t>
  </si>
  <si>
    <t xml:space="preserve">Open roles - Mumbai office (commercial, business development)</t>
  </si>
  <si>
    <t xml:space="preserve">Growth / Commercial</t>
  </si>
  <si>
    <t xml:space="preserve">https://careers.adyen.com/locations/mumbai</t>
  </si>
  <si>
    <t xml:space="preserve">Product Manager, Amazon Pay - Core Payments &amp; Acceptance</t>
  </si>
  <si>
    <t xml:space="preserve">Product Manager, IN Payments</t>
  </si>
  <si>
    <t xml:space="preserve">https://www.amazon.jobs/en/jobs/3176660/product-manager-in-payments</t>
  </si>
  <si>
    <t xml:space="preserve">Program Manager, Bill Payments, Amazon Pay</t>
  </si>
  <si>
    <t xml:space="preserve">Product / Program Management</t>
  </si>
  <si>
    <t xml:space="preserve">https://www.bayt.com/en/india/jobs/program-manager-bill-payments-amazon-pay-74650059/</t>
  </si>
  <si>
    <t xml:space="preserve">Bayt</t>
  </si>
  <si>
    <t xml:space="preserve">Strategic Partnerships Development Manager, Google Pay</t>
  </si>
  <si>
    <t xml:space="preserve">Growth / Partnerships</t>
  </si>
  <si>
    <t xml:space="preserve">Manager, Payments Product Operations and Strategy, Google Pay</t>
  </si>
  <si>
    <t xml:space="preserve">https://www.google.com/about/careers/applications/jobs/results/128261238082675398-manager-payments-product-operations-and-strategy-google-pay/</t>
  </si>
  <si>
    <t xml:space="preserve">Senior Product Manager, GPay India</t>
  </si>
  <si>
    <t xml:space="preserve">https://www.google.com/about/careers/applications/jobs/results/85098134622872262-senior-product-manager/</t>
  </si>
  <si>
    <t xml:space="preserve">Lead Product Manager (AI Platform)</t>
  </si>
  <si>
    <t xml:space="preserve">Product Management roles (category page)</t>
  </si>
  <si>
    <t xml:space="preserve">Product Manager, E-Invoicing</t>
  </si>
  <si>
    <t xml:space="preserve">Bengaluru (verify location)</t>
  </si>
  <si>
    <t xml:space="preserve">Product Strategy &amp; Operations, APAC</t>
  </si>
  <si>
    <t xml:space="preserve">APAC (verify India eligibility)</t>
  </si>
  <si>
    <t xml:space="preserve">https://stripe.com/careers/listing/product-strategy-operations-apac/8081423</t>
  </si>
  <si>
    <t xml:space="preserve">Product &amp; payments roles (search page)</t>
  </si>
  <si>
    <t xml:space="preserve">Finacle Payments - Product Management roles (search page)</t>
  </si>
  <si>
    <t xml:space="preserve">Expertini search</t>
  </si>
  <si>
    <t xml:space="preserve">Open roles (payments products)</t>
  </si>
  <si>
    <t xml:space="preserve">Open roles in Bengaluru (26 listed; filter for product)</t>
  </si>
  <si>
    <t xml:space="preserve">Business Analyst (Payments domain) &amp; product roles (search page)</t>
  </si>
  <si>
    <t xml:space="preserve">Business Consulting / Product</t>
  </si>
  <si>
    <t xml:space="preserve">https://in.linkedin.com/jobs/fis-global-jobs</t>
  </si>
  <si>
    <t xml:space="preserve">Technology Business Consultant Specialist (Cards and Payments Domain)</t>
  </si>
  <si>
    <t xml:space="preserve">B2B Product Manager / Senior Product Manager</t>
  </si>
  <si>
    <t xml:space="preserve">Manager - Business Finance</t>
  </si>
  <si>
    <t xml:space="preserve">Business / Strategy (finance)</t>
  </si>
  <si>
    <t xml:space="preserve">Workopia</t>
  </si>
  <si>
    <t xml:space="preserve">Open roles (43 listed in India; filter for product)</t>
  </si>
  <si>
    <t xml:space="preserve">Payments-domain roles in India (157 listed; filter for product)</t>
  </si>
  <si>
    <t xml:space="preserve">Product / Business Consulting</t>
  </si>
  <si>
    <t xml:space="preserve">Product Manager (Worldline Global Services)</t>
  </si>
  <si>
    <t xml:space="preserve">Product Manager I</t>
  </si>
  <si>
    <t xml:space="preserve">Associate Product Manager I/II - Tachyon</t>
  </si>
  <si>
    <t xml:space="preserve">https://startup.jobs/associate-product-manager-i-ii-tachyon-zeta-1818400</t>
  </si>
  <si>
    <t xml:space="preserve">Ready-made job searches (India) to refresh this list</t>
  </si>
  <si>
    <t xml:space="preserve">Search keywords</t>
  </si>
  <si>
    <t xml:space="preserve">LinkedIn (India)</t>
  </si>
  <si>
    <t xml:space="preserve">Indeed India</t>
  </si>
  <si>
    <t xml:space="preserve">payments product manager</t>
  </si>
  <si>
    <t xml:space="preserve">https://www.linkedin.com/jobs/search/?keywords=payments%20product%20manager&amp;location=India</t>
  </si>
  <si>
    <t xml:space="preserve">https://www.naukri.com/payments-product-manager-jobs</t>
  </si>
  <si>
    <t xml:space="preserve">https://in.indeed.com/jobs?q=payments+product+manager&amp;l=India</t>
  </si>
  <si>
    <t xml:space="preserve">payments strategy</t>
  </si>
  <si>
    <t xml:space="preserve">https://www.linkedin.com/jobs/search/?keywords=payments%20strategy&amp;location=India</t>
  </si>
  <si>
    <t xml:space="preserve">https://www.naukri.com/payments-strategy-jobs</t>
  </si>
  <si>
    <t xml:space="preserve">https://in.indeed.com/jobs?q=payments+strategy&amp;l=India</t>
  </si>
  <si>
    <t xml:space="preserve">financial services consultant</t>
  </si>
  <si>
    <t xml:space="preserve">https://www.linkedin.com/jobs/search/?keywords=financial%20services%20consultant&amp;location=India</t>
  </si>
  <si>
    <t xml:space="preserve">https://www.naukri.com/financial-services-consultant-jobs</t>
  </si>
  <si>
    <t xml:space="preserve">https://in.indeed.com/jobs?q=financial+services+consultant&amp;l=India</t>
  </si>
  <si>
    <t xml:space="preserve">cards product manager</t>
  </si>
  <si>
    <t xml:space="preserve">https://www.linkedin.com/jobs/search/?keywords=cards%20product%20manager&amp;location=India</t>
  </si>
  <si>
    <t xml:space="preserve">https://www.naukri.com/cards-product-manager-jobs</t>
  </si>
  <si>
    <t xml:space="preserve">https://in.indeed.com/jobs?q=cards+product+manager&amp;l=India</t>
  </si>
  <si>
    <t xml:space="preserve">UPI product manager</t>
  </si>
  <si>
    <t xml:space="preserve">https://www.linkedin.com/jobs/search/?keywords=UPI%20product%20manager&amp;location=India</t>
  </si>
  <si>
    <t xml:space="preserve">https://www.naukri.com/upi-product-manager-jobs</t>
  </si>
  <si>
    <t xml:space="preserve">https://in.indeed.com/jobs?q=UPI+product+manager&amp;l=India</t>
  </si>
  <si>
    <t xml:space="preserve">cross border payments</t>
  </si>
  <si>
    <t xml:space="preserve">https://www.linkedin.com/jobs/search/?keywords=cross%20border%20payments&amp;location=India</t>
  </si>
  <si>
    <t xml:space="preserve">https://www.naukri.com/cross-border-payments-jobs</t>
  </si>
  <si>
    <t xml:space="preserve">https://in.indeed.com/jobs?q=cross+border+payments&amp;l=India</t>
  </si>
  <si>
    <t xml:space="preserve">pricing strategy financial services</t>
  </si>
  <si>
    <t xml:space="preserve">https://www.linkedin.com/jobs/search/?keywords=pricing%20strategy%20financial%20services&amp;location=India</t>
  </si>
  <si>
    <t xml:space="preserve">https://www.naukri.com/pricing-strategy-financial-services-jobs</t>
  </si>
  <si>
    <t xml:space="preserve">https://in.indeed.com/jobs?q=pricing+strategy+financial+services&amp;l=India</t>
  </si>
  <si>
    <t xml:space="preserve">growth manager fintech</t>
  </si>
  <si>
    <t xml:space="preserve">https://www.linkedin.com/jobs/search/?keywords=growth%20manager%20fintech&amp;location=India</t>
  </si>
  <si>
    <t xml:space="preserve">https://www.naukri.com/growth-manager-fintech-jobs</t>
  </si>
  <si>
    <t xml:space="preserve">https://in.indeed.com/jobs?q=growth+manager+fintech&amp;l=India</t>
  </si>
  <si>
    <t xml:space="preserve">business consultant payments</t>
  </si>
  <si>
    <t xml:space="preserve">https://www.linkedin.com/jobs/search/?keywords=business%20consultant%20payments&amp;location=India</t>
  </si>
  <si>
    <t xml:space="preserve">https://www.naukri.com/business-consultant-payments-jobs</t>
  </si>
  <si>
    <t xml:space="preserve">https://in.indeed.com/jobs?q=business+consultant+payments&amp;l=India</t>
  </si>
  <si>
    <t xml:space="preserve">go to market fintech</t>
  </si>
  <si>
    <t xml:space="preserve">https://www.linkedin.com/jobs/search/?keywords=go%20to%20market%20fintech&amp;location=India</t>
  </si>
  <si>
    <t xml:space="preserve">https://www.naukri.com/go-to-market-fintech-jobs</t>
  </si>
  <si>
    <t xml:space="preserve">https://in.indeed.com/jobs?q=go+to+market+fintech&amp;l=India</t>
  </si>
  <si>
    <t xml:space="preserve">merchant acquiring</t>
  </si>
  <si>
    <t xml:space="preserve">https://www.linkedin.com/jobs/search/?keywords=merchant%20acquiring&amp;location=India</t>
  </si>
  <si>
    <t xml:space="preserve">https://www.naukri.com/merchant-acquiring-jobs</t>
  </si>
  <si>
    <t xml:space="preserve">https://in.indeed.com/jobs?q=merchant+acquiring&amp;l=India</t>
  </si>
  <si>
    <t xml:space="preserve">transaction banking product manager</t>
  </si>
  <si>
    <t xml:space="preserve">https://www.linkedin.com/jobs/search/?keywords=transaction%20banking%20product%20manager&amp;location=India</t>
  </si>
  <si>
    <t xml:space="preserve">https://www.naukri.com/transaction-banking-product-manager-jobs</t>
  </si>
  <si>
    <t xml:space="preserve">https://in.indeed.com/jobs?q=transaction+banking+product+manager&amp;l=India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</si>
</sst>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  <fill>
      <patternFill patternType="solid">
        <fgColor rgb="FFFFF2CC"/>
        <bgColor rgb="FFF2F5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5F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in.linkedin.com/jobs/view/senior-product-manager-growth-at-razorpay-4416243265" TargetMode="External"/><Relationship Id="rId2" Type="http://schemas.openxmlformats.org/officeDocument/2006/relationships/hyperlink" Target="https://razorpay.com/careers/" TargetMode="External"/><Relationship Id="rId3" Type="http://schemas.openxmlformats.org/officeDocument/2006/relationships/hyperlink" Target="https://www.linkedin.com/jobs/search/?keywords=Razorpay&amp;location=India" TargetMode="External"/><Relationship Id="rId4" Type="http://schemas.openxmlformats.org/officeDocument/2006/relationships/hyperlink" Target="https://in.linkedin.com/jobs/view/product-manager-at-phonepe-4397787803" TargetMode="External"/><Relationship Id="rId5" Type="http://schemas.openxmlformats.org/officeDocument/2006/relationships/hyperlink" Target="https://www.phonepe.com/careers/job-openings/" TargetMode="External"/><Relationship Id="rId6" Type="http://schemas.openxmlformats.org/officeDocument/2006/relationships/hyperlink" Target="https://www.linkedin.com/jobs/search/?keywords=PhonePe&amp;location=India" TargetMode="External"/><Relationship Id="rId7" Type="http://schemas.openxmlformats.org/officeDocument/2006/relationships/hyperlink" Target="https://jobs.lever.co/paytm/64241793-684f-4dde-9447-36a14e499d4e" TargetMode="External"/><Relationship Id="rId8" Type="http://schemas.openxmlformats.org/officeDocument/2006/relationships/hyperlink" Target="https://jobs.lever.co/paytm" TargetMode="External"/><Relationship Id="rId9" Type="http://schemas.openxmlformats.org/officeDocument/2006/relationships/hyperlink" Target="https://www.linkedin.com/jobs/search/?keywords=Paytm&amp;location=India" TargetMode="External"/><Relationship Id="rId10" Type="http://schemas.openxmlformats.org/officeDocument/2006/relationships/hyperlink" Target="https://careers.kula.ai/cashfree/18060-product-manager-2" TargetMode="External"/><Relationship Id="rId11" Type="http://schemas.openxmlformats.org/officeDocument/2006/relationships/hyperlink" Target="https://careers.kula.ai/cashfree" TargetMode="External"/><Relationship Id="rId12" Type="http://schemas.openxmlformats.org/officeDocument/2006/relationships/hyperlink" Target="https://www.linkedin.com/jobs/search/?keywords=Cashfree%20Payments&amp;location=India" TargetMode="External"/><Relationship Id="rId13" Type="http://schemas.openxmlformats.org/officeDocument/2006/relationships/hyperlink" Target="https://www.instahyre.com/job-74182-product-manager-apm-at-juspay-bangalore/" TargetMode="External"/><Relationship Id="rId14" Type="http://schemas.openxmlformats.org/officeDocument/2006/relationships/hyperlink" Target="https://in.linkedin.com/jobs/juspay-jobs" TargetMode="External"/><Relationship Id="rId15" Type="http://schemas.openxmlformats.org/officeDocument/2006/relationships/hyperlink" Target="https://www.linkedin.com/jobs/search/?keywords=Juspay&amp;location=India" TargetMode="External"/><Relationship Id="rId16" Type="http://schemas.openxmlformats.org/officeDocument/2006/relationships/hyperlink" Target="https://careers.payu.in/PayU/job/Bengaluru-Product-Manager-Merchant-Management/3966280/" TargetMode="External"/><Relationship Id="rId17" Type="http://schemas.openxmlformats.org/officeDocument/2006/relationships/hyperlink" Target="https://in.linkedin.com/jobs/payu-jobs" TargetMode="External"/><Relationship Id="rId18" Type="http://schemas.openxmlformats.org/officeDocument/2006/relationships/hyperlink" Target="https://www.linkedin.com/jobs/search/?keywords=PayU%20India&amp;location=India" TargetMode="External"/><Relationship Id="rId19" Type="http://schemas.openxmlformats.org/officeDocument/2006/relationships/hyperlink" Target="https://www.instahyre.com/job-131077-product-manager-senior-product-manager-at-pine-labs-2-bangalore-noida/" TargetMode="External"/><Relationship Id="rId20" Type="http://schemas.openxmlformats.org/officeDocument/2006/relationships/hyperlink" Target="https://www.pinelabs.com/careers/open-jobs" TargetMode="External"/><Relationship Id="rId21" Type="http://schemas.openxmlformats.org/officeDocument/2006/relationships/hyperlink" Target="https://www.linkedin.com/jobs/search/?keywords=Pine%20Labs&amp;location=India" TargetMode="External"/><Relationship Id="rId22" Type="http://schemas.openxmlformats.org/officeDocument/2006/relationships/hyperlink" Target="https://jobs.insightpartners.com/companies/bharatpe-2/jobs/79697323-senior-product-manager" TargetMode="External"/><Relationship Id="rId23" Type="http://schemas.openxmlformats.org/officeDocument/2006/relationships/hyperlink" Target="https://in.linkedin.com/company/bharatpe/jobs" TargetMode="External"/><Relationship Id="rId24" Type="http://schemas.openxmlformats.org/officeDocument/2006/relationships/hyperlink" Target="https://www.linkedin.com/jobs/search/?keywords=BharatPe&amp;location=India" TargetMode="External"/><Relationship Id="rId25" Type="http://schemas.openxmlformats.org/officeDocument/2006/relationships/hyperlink" Target="https://www.instahyre.com/job-116220-product-manager-at-mobikwik-2-gurgaon/" TargetMode="External"/><Relationship Id="rId26" Type="http://schemas.openxmlformats.org/officeDocument/2006/relationships/hyperlink" Target="https://www.mobikwik.com/careers" TargetMode="External"/><Relationship Id="rId27" Type="http://schemas.openxmlformats.org/officeDocument/2006/relationships/hyperlink" Target="https://www.linkedin.com/jobs/search/?keywords=MobiKwik&amp;location=India" TargetMode="External"/><Relationship Id="rId28" Type="http://schemas.openxmlformats.org/officeDocument/2006/relationships/hyperlink" Target="https://startup.jobs/product-manager-growth-cred_club-3005748" TargetMode="External"/><Relationship Id="rId29" Type="http://schemas.openxmlformats.org/officeDocument/2006/relationships/hyperlink" Target="https://careers.cred.club/openings" TargetMode="External"/><Relationship Id="rId30" Type="http://schemas.openxmlformats.org/officeDocument/2006/relationships/hyperlink" Target="https://www.linkedin.com/jobs/search/?keywords=CRED&amp;location=India" TargetMode="External"/><Relationship Id="rId31" Type="http://schemas.openxmlformats.org/officeDocument/2006/relationships/hyperlink" Target="https://jobs.lever.co/zeta/8623c195-f912-4d87-952f-7114cd258413" TargetMode="External"/><Relationship Id="rId32" Type="http://schemas.openxmlformats.org/officeDocument/2006/relationships/hyperlink" Target="https://jobs.lever.co/zeta" TargetMode="External"/><Relationship Id="rId33" Type="http://schemas.openxmlformats.org/officeDocument/2006/relationships/hyperlink" Target="https://www.linkedin.com/jobs/search/?keywords=Zeta&amp;location=India" TargetMode="External"/><Relationship Id="rId34" Type="http://schemas.openxmlformats.org/officeDocument/2006/relationships/hyperlink" Target="https://www.iimjobs.com/j/m-2-p-fintech-product-manager-3-6-yrs-1420797" TargetMode="External"/><Relationship Id="rId35" Type="http://schemas.openxmlformats.org/officeDocument/2006/relationships/hyperlink" Target="https://careers.m2pfintech.com/" TargetMode="External"/><Relationship Id="rId36" Type="http://schemas.openxmlformats.org/officeDocument/2006/relationships/hyperlink" Target="https://www.linkedin.com/jobs/search/?keywords=M2P%20Fintech&amp;location=India" TargetMode="External"/><Relationship Id="rId37" Type="http://schemas.openxmlformats.org/officeDocument/2006/relationships/hyperlink" Target="https://www.npci.org.in/work-with-us/current-openings" TargetMode="External"/><Relationship Id="rId38" Type="http://schemas.openxmlformats.org/officeDocument/2006/relationships/hyperlink" Target="https://www.npci.org.in/work-with-us/current-openings" TargetMode="External"/><Relationship Id="rId39" Type="http://schemas.openxmlformats.org/officeDocument/2006/relationships/hyperlink" Target="https://www.linkedin.com/jobs/search/?keywords=NPCI&amp;location=India" TargetMode="External"/><Relationship Id="rId40" Type="http://schemas.openxmlformats.org/officeDocument/2006/relationships/hyperlink" Target="https://www.google.com/about/careers/applications/jobs/results/130049272241365702-strategic-partnerships-development-manager/" TargetMode="External"/><Relationship Id="rId41" Type="http://schemas.openxmlformats.org/officeDocument/2006/relationships/hyperlink" Target="https://www.google.com/about/careers/applications/jobs/results/?location=India&amp;q=Google%20Pay" TargetMode="External"/><Relationship Id="rId42" Type="http://schemas.openxmlformats.org/officeDocument/2006/relationships/hyperlink" Target="https://www.linkedin.com/jobs/search/?keywords=Google&amp;location=India" TargetMode="External"/><Relationship Id="rId43" Type="http://schemas.openxmlformats.org/officeDocument/2006/relationships/hyperlink" Target="https://www.amazon.jobs/en/jobs/10439650/product-manager-amazon-pay-core-payments-acceptance" TargetMode="External"/><Relationship Id="rId44" Type="http://schemas.openxmlformats.org/officeDocument/2006/relationships/hyperlink" Target="https://www.amazon.jobs/en/search?base_query=amazon+pay&amp;loc_query=India" TargetMode="External"/><Relationship Id="rId45" Type="http://schemas.openxmlformats.org/officeDocument/2006/relationships/hyperlink" Target="https://www.linkedin.com/jobs/search/?keywords=Amazon%20Pay%20India&amp;location=India" TargetMode="External"/><Relationship Id="rId46" Type="http://schemas.openxmlformats.org/officeDocument/2006/relationships/hyperlink" Target="https://www.iimjobs.com/j/airtel-payments-bank-product-manager-payments-1269762" TargetMode="External"/><Relationship Id="rId47" Type="http://schemas.openxmlformats.org/officeDocument/2006/relationships/hyperlink" Target="https://www.naukri.com/airtel-payments-bank-jobs-in-gurgaon-gurugram" TargetMode="External"/><Relationship Id="rId48" Type="http://schemas.openxmlformats.org/officeDocument/2006/relationships/hyperlink" Target="https://www.linkedin.com/jobs/search/?keywords=Airtel%20Payments%20Bank&amp;location=India" TargetMode="External"/><Relationship Id="rId49" Type="http://schemas.openxmlformats.org/officeDocument/2006/relationships/hyperlink" Target="https://www.jobaaj.com/job/fin-financial-services-product-manager-upi-acquisition-jio-payments-bank-navi-mumbai-maharashtra-0-to-1-years-777846" TargetMode="External"/><Relationship Id="rId50" Type="http://schemas.openxmlformats.org/officeDocument/2006/relationships/hyperlink" Target="https://in.linkedin.com/company/jiofinser/jobs" TargetMode="External"/><Relationship Id="rId51" Type="http://schemas.openxmlformats.org/officeDocument/2006/relationships/hyperlink" Target="https://www.linkedin.com/jobs/search/?keywords=Jio%20Financial%20Services&amp;location=India" TargetMode="External"/><Relationship Id="rId52" Type="http://schemas.openxmlformats.org/officeDocument/2006/relationships/hyperlink" Target="https://visa.wd5.myworkdayjobs.com/Visa/job/IN---Bengaluru-India/Product-Manager_REF084709W" TargetMode="External"/><Relationship Id="rId53" Type="http://schemas.openxmlformats.org/officeDocument/2006/relationships/hyperlink" Target="https://in.linkedin.com/jobs/visa-inc-jobs" TargetMode="External"/><Relationship Id="rId54" Type="http://schemas.openxmlformats.org/officeDocument/2006/relationships/hyperlink" Target="https://www.linkedin.com/jobs/search/?keywords=Visa&amp;location=India" TargetMode="External"/><Relationship Id="rId55" Type="http://schemas.openxmlformats.org/officeDocument/2006/relationships/hyperlink" Target="https://careers.mastercard.com/us/en/job/R-273100/Managing-Consultant-Advisors-Consulting-Services-Strategy-Transformation" TargetMode="External"/><Relationship Id="rId56" Type="http://schemas.openxmlformats.org/officeDocument/2006/relationships/hyperlink" Target="https://careers.mastercard.com/us/en/c/consulting-jobs" TargetMode="External"/><Relationship Id="rId57" Type="http://schemas.openxmlformats.org/officeDocument/2006/relationships/hyperlink" Target="https://www.linkedin.com/jobs/search/?keywords=Mastercard&amp;location=India" TargetMode="External"/><Relationship Id="rId58" Type="http://schemas.openxmlformats.org/officeDocument/2006/relationships/hyperlink" Target="https://careers.americanexpress.com/en/sites/CX_1/job/26009305/" TargetMode="External"/><Relationship Id="rId59" Type="http://schemas.openxmlformats.org/officeDocument/2006/relationships/hyperlink" Target="https://jobs.americanexpress.com/india/jobs" TargetMode="External"/><Relationship Id="rId60" Type="http://schemas.openxmlformats.org/officeDocument/2006/relationships/hyperlink" Target="https://www.linkedin.com/jobs/search/?keywords=American%20Express&amp;location=India" TargetMode="External"/><Relationship Id="rId61" Type="http://schemas.openxmlformats.org/officeDocument/2006/relationships/hyperlink" Target="https://builtin.com/job/lead-product-manager/7204079" TargetMode="External"/><Relationship Id="rId62" Type="http://schemas.openxmlformats.org/officeDocument/2006/relationships/hyperlink" Target="https://careers.pypl.com/categories/product-management/" TargetMode="External"/><Relationship Id="rId63" Type="http://schemas.openxmlformats.org/officeDocument/2006/relationships/hyperlink" Target="https://www.linkedin.com/jobs/search/?keywords=PayPal&amp;location=India" TargetMode="External"/><Relationship Id="rId64" Type="http://schemas.openxmlformats.org/officeDocument/2006/relationships/hyperlink" Target="https://stripe.com/careers/listing/product-manager-e-invoicing/8041655" TargetMode="External"/><Relationship Id="rId65" Type="http://schemas.openxmlformats.org/officeDocument/2006/relationships/hyperlink" Target="https://www.bayt.com/en/india/jobs/stripe-jobs-in-bengaluru/" TargetMode="External"/><Relationship Id="rId66" Type="http://schemas.openxmlformats.org/officeDocument/2006/relationships/hyperlink" Target="https://www.linkedin.com/jobs/search/?keywords=Stripe&amp;location=India" TargetMode="External"/><Relationship Id="rId67" Type="http://schemas.openxmlformats.org/officeDocument/2006/relationships/hyperlink" Target="https://careers.adyen.com/locations/bengaluru" TargetMode="External"/><Relationship Id="rId68" Type="http://schemas.openxmlformats.org/officeDocument/2006/relationships/hyperlink" Target="https://careers.adyen.com/vacancies" TargetMode="External"/><Relationship Id="rId69" Type="http://schemas.openxmlformats.org/officeDocument/2006/relationships/hyperlink" Target="https://www.linkedin.com/jobs/search/?keywords=Adyen&amp;location=India" TargetMode="External"/><Relationship Id="rId70" Type="http://schemas.openxmlformats.org/officeDocument/2006/relationships/hyperlink" Target="https://in.linkedin.com/jobs/hdfc-bank-product-management-jobs" TargetMode="External"/><Relationship Id="rId71" Type="http://schemas.openxmlformats.org/officeDocument/2006/relationships/hyperlink" Target="https://www.hdfcbank.com/personal/about-us/careers" TargetMode="External"/><Relationship Id="rId72" Type="http://schemas.openxmlformats.org/officeDocument/2006/relationships/hyperlink" Target="https://www.linkedin.com/jobs/search/?keywords=HDFC%20Bank&amp;location=India" TargetMode="External"/><Relationship Id="rId73" Type="http://schemas.openxmlformats.org/officeDocument/2006/relationships/hyperlink" Target="https://www.iimjobs.com/j/icici-bank-product-manager-cards-iim-mdi-isb-fms-1-10-yrs-879114" TargetMode="External"/><Relationship Id="rId74" Type="http://schemas.openxmlformats.org/officeDocument/2006/relationships/hyperlink" Target="https://www.linkedin.com/jobs/search/?keywords=ICICI%20Bank&amp;location=India" TargetMode="External"/><Relationship Id="rId75" Type="http://schemas.openxmlformats.org/officeDocument/2006/relationships/hyperlink" Target="https://www.linkedin.com/jobs/search/?keywords=ICICI%20Bank&amp;location=India" TargetMode="External"/><Relationship Id="rId76" Type="http://schemas.openxmlformats.org/officeDocument/2006/relationships/hyperlink" Target="https://www.iimjobs.com/j/axis-bank-product-manager-payments-products-3-12-yrs-863888" TargetMode="External"/><Relationship Id="rId77" Type="http://schemas.openxmlformats.org/officeDocument/2006/relationships/hyperlink" Target="https://www.axisbank.com/careers-new" TargetMode="External"/><Relationship Id="rId78" Type="http://schemas.openxmlformats.org/officeDocument/2006/relationships/hyperlink" Target="https://www.linkedin.com/jobs/search/?keywords=Axis%20Bank&amp;location=India" TargetMode="External"/><Relationship Id="rId79" Type="http://schemas.openxmlformats.org/officeDocument/2006/relationships/hyperlink" Target="https://www.livelaw.in/job-updates/product-manager-vacancy-at-kotak-mahindra-bank-limited-536900" TargetMode="External"/><Relationship Id="rId80" Type="http://schemas.openxmlformats.org/officeDocument/2006/relationships/hyperlink" Target="https://www.linkedin.com/company/kotak-mahindra-bank" TargetMode="External"/><Relationship Id="rId81" Type="http://schemas.openxmlformats.org/officeDocument/2006/relationships/hyperlink" Target="https://www.linkedin.com/jobs/search/?keywords=Kotak%20Mahindra%20Bank&amp;location=India" TargetMode="External"/><Relationship Id="rId82" Type="http://schemas.openxmlformats.org/officeDocument/2006/relationships/hyperlink" Target="https://in.linkedin.com/jobs/view/product-manager-gurgaon-at-sbi-cards-and-payment-services-private-limited-202611397" TargetMode="External"/><Relationship Id="rId83" Type="http://schemas.openxmlformats.org/officeDocument/2006/relationships/hyperlink" Target="https://in.linkedin.com/jobs/sbi-card-jobs-gurugram" TargetMode="External"/><Relationship Id="rId84" Type="http://schemas.openxmlformats.org/officeDocument/2006/relationships/hyperlink" Target="https://www.linkedin.com/jobs/search/?keywords=SBI%20Card&amp;location=India" TargetMode="External"/><Relationship Id="rId85" Type="http://schemas.openxmlformats.org/officeDocument/2006/relationships/hyperlink" Target="https://www.themuse.com/jobs/jpmorganchase/india-trade-product-manager-payments-executive-director" TargetMode="External"/><Relationship Id="rId86" Type="http://schemas.openxmlformats.org/officeDocument/2006/relationships/hyperlink" Target="https://in.linkedin.com/jobs/jpmorgan-chase-jobs" TargetMode="External"/><Relationship Id="rId87" Type="http://schemas.openxmlformats.org/officeDocument/2006/relationships/hyperlink" Target="https://www.linkedin.com/jobs/search/?keywords=JPMorgan%20Chase&amp;location=India" TargetMode="External"/><Relationship Id="rId88" Type="http://schemas.openxmlformats.org/officeDocument/2006/relationships/hyperlink" Target="https://www.themuse.com/jobs/bankofamerica/upto-director-trade-product-manager-global-payments-solutions-india" TargetMode="External"/><Relationship Id="rId89" Type="http://schemas.openxmlformats.org/officeDocument/2006/relationships/hyperlink" Target="https://www.linkedin.com/jobs/search/?keywords=Bank%20of%20America&amp;location=India" TargetMode="External"/><Relationship Id="rId90" Type="http://schemas.openxmlformats.org/officeDocument/2006/relationships/hyperlink" Target="https://www.linkedin.com/jobs/search/?keywords=Bank%20of%20America&amp;location=India" TargetMode="External"/><Relationship Id="rId91" Type="http://schemas.openxmlformats.org/officeDocument/2006/relationships/hyperlink" Target="https://jobs.citi.com/job/mumbai/services-full-time-analyst-india-2026/287/89151139152" TargetMode="External"/><Relationship Id="rId92" Type="http://schemas.openxmlformats.org/officeDocument/2006/relationships/hyperlink" Target="https://jobs.citi.com/pune" TargetMode="External"/><Relationship Id="rId93" Type="http://schemas.openxmlformats.org/officeDocument/2006/relationships/hyperlink" Target="https://www.linkedin.com/jobs/search/?keywords=Citi&amp;location=India" TargetMode="External"/><Relationship Id="rId94" Type="http://schemas.openxmlformats.org/officeDocument/2006/relationships/hyperlink" Target="https://portal.careers.hsbc.com/careers?location=India" TargetMode="External"/><Relationship Id="rId95" Type="http://schemas.openxmlformats.org/officeDocument/2006/relationships/hyperlink" Target="https://portal.careers.hsbc.com/careers?location=India" TargetMode="External"/><Relationship Id="rId96" Type="http://schemas.openxmlformats.org/officeDocument/2006/relationships/hyperlink" Target="https://www.linkedin.com/jobs/search/?keywords=HSBC&amp;location=India" TargetMode="External"/><Relationship Id="rId97" Type="http://schemas.openxmlformats.org/officeDocument/2006/relationships/hyperlink" Target="https://www.sc.com/en/global-careers/experienced-hire/spotlight-career-opportunities/careers-in-india/" TargetMode="External"/><Relationship Id="rId98" Type="http://schemas.openxmlformats.org/officeDocument/2006/relationships/hyperlink" Target="https://in.linkedin.com/jobs/standard-chartered-bank-jobs-bengaluru" TargetMode="External"/><Relationship Id="rId99" Type="http://schemas.openxmlformats.org/officeDocument/2006/relationships/hyperlink" Target="https://www.linkedin.com/jobs/search/?keywords=Standard%20Chartered&amp;location=India" TargetMode="External"/><Relationship Id="rId100" Type="http://schemas.openxmlformats.org/officeDocument/2006/relationships/hyperlink" Target="https://search.jobs.barclays/job/pune/transaction-banking-product-manager-payments-and-foreign-exchange-vp/13015/82655573792" TargetMode="External"/><Relationship Id="rId101" Type="http://schemas.openxmlformats.org/officeDocument/2006/relationships/hyperlink" Target="https://search.jobs.barclays/location/pune-maharashtra-india-jobs/13015/1269750-1264418-1259229/4" TargetMode="External"/><Relationship Id="rId102" Type="http://schemas.openxmlformats.org/officeDocument/2006/relationships/hyperlink" Target="https://www.linkedin.com/jobs/search/?keywords=Barclays&amp;location=India" TargetMode="External"/><Relationship Id="rId103" Type="http://schemas.openxmlformats.org/officeDocument/2006/relationships/hyperlink" Target="https://builtin.com/job/product-management/4458908" TargetMode="External"/><Relationship Id="rId104" Type="http://schemas.openxmlformats.org/officeDocument/2006/relationships/hyperlink" Target="https://careers.db.com/explore-the-bank/locations/asia-pacific/pune" TargetMode="External"/><Relationship Id="rId105" Type="http://schemas.openxmlformats.org/officeDocument/2006/relationships/hyperlink" Target="https://www.linkedin.com/jobs/search/?keywords=Deutsche%20Bank&amp;location=India" TargetMode="External"/><Relationship Id="rId106" Type="http://schemas.openxmlformats.org/officeDocument/2006/relationships/hyperlink" Target="https://careers.fiserv.com/us/en/job/FFFYJUSR10391581EXTERNALENUS/B2B-Product-Manager-Senior-Product-Manager" TargetMode="External"/><Relationship Id="rId107" Type="http://schemas.openxmlformats.org/officeDocument/2006/relationships/hyperlink" Target="https://careers.fiserv.com/us/en" TargetMode="External"/><Relationship Id="rId108" Type="http://schemas.openxmlformats.org/officeDocument/2006/relationships/hyperlink" Target="https://www.linkedin.com/jobs/search/?keywords=Fiserv&amp;location=India" TargetMode="External"/><Relationship Id="rId109" Type="http://schemas.openxmlformats.org/officeDocument/2006/relationships/hyperlink" Target="https://builtin.com/job/technology-business-consultant-specialist-cards-and-payments-domain/4056670" TargetMode="External"/><Relationship Id="rId110" Type="http://schemas.openxmlformats.org/officeDocument/2006/relationships/hyperlink" Target="https://careers.fisglobal.com/us/en" TargetMode="External"/><Relationship Id="rId111" Type="http://schemas.openxmlformats.org/officeDocument/2006/relationships/hyperlink" Target="https://www.linkedin.com/jobs/search/?keywords=FIS&amp;location=India" TargetMode="External"/><Relationship Id="rId112" Type="http://schemas.openxmlformats.org/officeDocument/2006/relationships/hyperlink" Target="https://www.ziprecruiter.in/jobs/538586594-product-manager-at-worldline-global-services" TargetMode="External"/><Relationship Id="rId113" Type="http://schemas.openxmlformats.org/officeDocument/2006/relationships/hyperlink" Target="https://worldline.com/en-in/home/top-navigation/career" TargetMode="External"/><Relationship Id="rId114" Type="http://schemas.openxmlformats.org/officeDocument/2006/relationships/hyperlink" Target="https://www.linkedin.com/jobs/search/?keywords=Worldline%20India&amp;location=India" TargetMode="External"/><Relationship Id="rId115" Type="http://schemas.openxmlformats.org/officeDocument/2006/relationships/hyperlink" Target="https://in.linkedin.com/jobs/aci-worldwide-jobs" TargetMode="External"/><Relationship Id="rId116" Type="http://schemas.openxmlformats.org/officeDocument/2006/relationships/hyperlink" Target="https://www.aciworldwide.com/about-aci/careers" TargetMode="External"/><Relationship Id="rId117" Type="http://schemas.openxmlformats.org/officeDocument/2006/relationships/hyperlink" Target="https://www.linkedin.com/jobs/search/?keywords=ACI%20Worldwide&amp;location=India" TargetMode="External"/><Relationship Id="rId118" Type="http://schemas.openxmlformats.org/officeDocument/2006/relationships/hyperlink" Target="https://mckinsey.com/careers/search-jobs/jobs/capabilitiesandinsightsanalyst-panoramafinancialinstitutionscenter-97040" TargetMode="External"/><Relationship Id="rId119" Type="http://schemas.openxmlformats.org/officeDocument/2006/relationships/hyperlink" Target="https://www.mckinsey.com/in/careers-in-india" TargetMode="External"/><Relationship Id="rId120" Type="http://schemas.openxmlformats.org/officeDocument/2006/relationships/hyperlink" Target="https://www.linkedin.com/jobs/search/?keywords=McKinsey%20%26%20Company&amp;location=India" TargetMode="External"/><Relationship Id="rId121" Type="http://schemas.openxmlformats.org/officeDocument/2006/relationships/hyperlink" Target="https://careers.bcg.com/global/en/locations/india" TargetMode="External"/><Relationship Id="rId122" Type="http://schemas.openxmlformats.org/officeDocument/2006/relationships/hyperlink" Target="https://careers.bcg.com/global/en/locations/india" TargetMode="External"/><Relationship Id="rId123" Type="http://schemas.openxmlformats.org/officeDocument/2006/relationships/hyperlink" Target="https://www.linkedin.com/jobs/search/?keywords=Boston%20Consulting%20Group&amp;location=India" TargetMode="External"/><Relationship Id="rId124" Type="http://schemas.openxmlformats.org/officeDocument/2006/relationships/hyperlink" Target="https://www.bain.com/careers/find-a-role/position/?jobid=102140" TargetMode="External"/><Relationship Id="rId125" Type="http://schemas.openxmlformats.org/officeDocument/2006/relationships/hyperlink" Target="https://www.bain.com/careers/" TargetMode="External"/><Relationship Id="rId126" Type="http://schemas.openxmlformats.org/officeDocument/2006/relationships/hyperlink" Target="https://www.linkedin.com/jobs/search/?keywords=Bain%20%26%20Company&amp;location=India" TargetMode="External"/><Relationship Id="rId127" Type="http://schemas.openxmlformats.org/officeDocument/2006/relationships/hyperlink" Target="https://www.accenture.com/us-en/careers/jobdetails?id=R00284179_en" TargetMode="External"/><Relationship Id="rId128" Type="http://schemas.openxmlformats.org/officeDocument/2006/relationships/hyperlink" Target="https://www.accenture.com/in-en/careers/explore-careers/area-of-interest/strategy-careers" TargetMode="External"/><Relationship Id="rId129" Type="http://schemas.openxmlformats.org/officeDocument/2006/relationships/hyperlink" Target="https://www.linkedin.com/jobs/search/?keywords=Accenture%20Strategy%20%26%20Consulting&amp;location=India" TargetMode="External"/><Relationship Id="rId130" Type="http://schemas.openxmlformats.org/officeDocument/2006/relationships/hyperlink" Target="https://southasiacareers.deloitte.com/job/Bengaluru-Consultant-Financial-Services-Mumbai-Customer-Strategy-&amp;-Design/54711044" TargetMode="External"/><Relationship Id="rId131" Type="http://schemas.openxmlformats.org/officeDocument/2006/relationships/hyperlink" Target="https://southasiacareers.deloitte.com/" TargetMode="External"/><Relationship Id="rId132" Type="http://schemas.openxmlformats.org/officeDocument/2006/relationships/hyperlink" Target="https://www.linkedin.com/jobs/search/?keywords=Deloitte%20India&amp;location=India" TargetMode="External"/><Relationship Id="rId133" Type="http://schemas.openxmlformats.org/officeDocument/2006/relationships/hyperlink" Target="https://careers.ey.com/ey/job/Mumbai-Senior-Consultant-Business-Consulting-PI-FS-CNS-BC-Marketing-Sales-&amp;-Service-Bangalore-MH-400028/1366215433/" TargetMode="External"/><Relationship Id="rId134" Type="http://schemas.openxmlformats.org/officeDocument/2006/relationships/hyperlink" Target="https://www.ey.com/en_in/careers/consulting" TargetMode="External"/><Relationship Id="rId135" Type="http://schemas.openxmlformats.org/officeDocument/2006/relationships/hyperlink" Target="https://www.linkedin.com/jobs/search/?keywords=EY%20India&amp;location=India" TargetMode="External"/><Relationship Id="rId136" Type="http://schemas.openxmlformats.org/officeDocument/2006/relationships/hyperlink" Target="https://bebee.com/in/jobs/in-associate-fs-consulting-financial-services-advisory-mumbai-pwc-india-mumbai-city--fj-2137359807" TargetMode="External"/><Relationship Id="rId137" Type="http://schemas.openxmlformats.org/officeDocument/2006/relationships/hyperlink" Target="https://www.pwc.in/careers/job-search.html" TargetMode="External"/><Relationship Id="rId138" Type="http://schemas.openxmlformats.org/officeDocument/2006/relationships/hyperlink" Target="https://www.linkedin.com/jobs/search/?keywords=PwC%20India&amp;location=India" TargetMode="External"/><Relationship Id="rId139" Type="http://schemas.openxmlformats.org/officeDocument/2006/relationships/hyperlink" Target="https://www.foundit.in/search/kpmg-jobs-in-gurgaon-gurugram" TargetMode="External"/><Relationship Id="rId140" Type="http://schemas.openxmlformats.org/officeDocument/2006/relationships/hyperlink" Target="https://kpmg.com/in/en/careers.html" TargetMode="External"/><Relationship Id="rId141" Type="http://schemas.openxmlformats.org/officeDocument/2006/relationships/hyperlink" Target="https://www.linkedin.com/jobs/search/?keywords=KPMG%20India&amp;location=India" TargetMode="External"/><Relationship Id="rId142" Type="http://schemas.openxmlformats.org/officeDocument/2006/relationships/hyperlink" Target="https://www.kearney.com/about/locations/india/careers" TargetMode="External"/><Relationship Id="rId143" Type="http://schemas.openxmlformats.org/officeDocument/2006/relationships/hyperlink" Target="https://www.kearney.com/careers/opportunities" TargetMode="External"/><Relationship Id="rId144" Type="http://schemas.openxmlformats.org/officeDocument/2006/relationships/hyperlink" Target="https://www.linkedin.com/jobs/search/?keywords=Kearney&amp;location=India" TargetMode="External"/><Relationship Id="rId145" Type="http://schemas.openxmlformats.org/officeDocument/2006/relationships/hyperlink" Target="https://www.oliverwyman.com/careers.html" TargetMode="External"/><Relationship Id="rId146" Type="http://schemas.openxmlformats.org/officeDocument/2006/relationships/hyperlink" Target="https://www.oliverwyman.com/careers.html" TargetMode="External"/><Relationship Id="rId147" Type="http://schemas.openxmlformats.org/officeDocument/2006/relationships/hyperlink" Target="https://www.linkedin.com/jobs/search/?keywords=Oliver%20Wyman&amp;location=India" TargetMode="External"/><Relationship Id="rId148" Type="http://schemas.openxmlformats.org/officeDocument/2006/relationships/hyperlink" Target="https://www.simon-kucher.com/en/careers" TargetMode="External"/><Relationship Id="rId149" Type="http://schemas.openxmlformats.org/officeDocument/2006/relationships/hyperlink" Target="https://www.simon-kucher.com/en/country/india" TargetMode="External"/><Relationship Id="rId150" Type="http://schemas.openxmlformats.org/officeDocument/2006/relationships/hyperlink" Target="https://www.linkedin.com/jobs/search/?keywords=Simon-Kucher&amp;location=India" TargetMode="External"/><Relationship Id="rId151" Type="http://schemas.openxmlformats.org/officeDocument/2006/relationships/hyperlink" Target="https://www.naukri.com/redseer-consulting-jobs-careers-703413" TargetMode="External"/><Relationship Id="rId152" Type="http://schemas.openxmlformats.org/officeDocument/2006/relationships/hyperlink" Target="https://in.linkedin.com/company/redseer" TargetMode="External"/><Relationship Id="rId153" Type="http://schemas.openxmlformats.org/officeDocument/2006/relationships/hyperlink" Target="https://www.linkedin.com/jobs/search/?keywords=Redseer%20Strategy%20Consultants&amp;location=India" TargetMode="External"/><Relationship Id="rId154" Type="http://schemas.openxmlformats.org/officeDocument/2006/relationships/hyperlink" Target="https://www.grantthornton.in/current-opportunities/" TargetMode="External"/><Relationship Id="rId155" Type="http://schemas.openxmlformats.org/officeDocument/2006/relationships/hyperlink" Target="https://www.grantthornton.in/services/consulting/business-consulting/financial-services-consulting/" TargetMode="External"/><Relationship Id="rId156" Type="http://schemas.openxmlformats.org/officeDocument/2006/relationships/hyperlink" Target="https://www.linkedin.com/jobs/search/?keywords=Grant%20Thornton%20Bharat&amp;location=India" TargetMode="External"/><Relationship Id="rId157" Type="http://schemas.openxmlformats.org/officeDocument/2006/relationships/hyperlink" Target="https://www.capgemini.com/in-en/careers/" TargetMode="External"/><Relationship Id="rId158" Type="http://schemas.openxmlformats.org/officeDocument/2006/relationships/hyperlink" Target="https://in.linkedin.com/company/capgemini/jobs" TargetMode="External"/><Relationship Id="rId159" Type="http://schemas.openxmlformats.org/officeDocument/2006/relationships/hyperlink" Target="https://www.linkedin.com/jobs/search/?keywords=Capgemini%20Invent&amp;location=India" TargetMode="External"/><Relationship Id="rId160" Type="http://schemas.openxmlformats.org/officeDocument/2006/relationships/hyperlink" Target="https://bebee.com/in/jobs/praxis-global-alliance-consultant-praxis-global-alliance-mumbai-maharashtra--t7xk-780504220" TargetMode="External"/><Relationship Id="rId161" Type="http://schemas.openxmlformats.org/officeDocument/2006/relationships/hyperlink" Target="https://www.praxisga.com/career" TargetMode="External"/><Relationship Id="rId162" Type="http://schemas.openxmlformats.org/officeDocument/2006/relationships/hyperlink" Target="https://www.linkedin.com/jobs/search/?keywords=Praxis%20Global%20Alliance&amp;location=India" TargetMode="External"/><Relationship Id="rId163" Type="http://schemas.openxmlformats.org/officeDocument/2006/relationships/hyperlink" Target="https://www.rolandberger.com/en/Join/All-Jobs/" TargetMode="External"/><Relationship Id="rId164" Type="http://schemas.openxmlformats.org/officeDocument/2006/relationships/hyperlink" Target="https://www.rolandberger.com/en/India/" TargetMode="External"/><Relationship Id="rId165" Type="http://schemas.openxmlformats.org/officeDocument/2006/relationships/hyperlink" Target="https://www.linkedin.com/jobs/search/?keywords=Roland%20Berger&amp;location=India" TargetMode="External"/><Relationship Id="rId166" Type="http://schemas.openxmlformats.org/officeDocument/2006/relationships/hyperlink" Target="https://wise.jobs/job/product-lead-india-in-hyderabad-jid-1795" TargetMode="External"/><Relationship Id="rId167" Type="http://schemas.openxmlformats.org/officeDocument/2006/relationships/hyperlink" Target="https://wise.jobs/posts/tags/hyderabad" TargetMode="External"/><Relationship Id="rId168" Type="http://schemas.openxmlformats.org/officeDocument/2006/relationships/hyperlink" Target="https://www.linkedin.com/jobs/search/?keywords=Wise&amp;location=India" TargetMode="External"/><Relationship Id="rId169" Type="http://schemas.openxmlformats.org/officeDocument/2006/relationships/hyperlink" Target="https://www.instahyre.com/job-197944-principal-product-manager-at-nium-bangalore-chennai-mumbai/" TargetMode="External"/><Relationship Id="rId170" Type="http://schemas.openxmlformats.org/officeDocument/2006/relationships/hyperlink" Target="https://www.nium.com/careers" TargetMode="External"/><Relationship Id="rId171" Type="http://schemas.openxmlformats.org/officeDocument/2006/relationships/hyperlink" Target="https://www.linkedin.com/jobs/search/?keywords=Nium&amp;location=India" TargetMode="External"/><Relationship Id="rId172" Type="http://schemas.openxmlformats.org/officeDocument/2006/relationships/hyperlink" Target="https://startup.jobs/program-growth-manager-payoneer-2-8053174" TargetMode="External"/><Relationship Id="rId173" Type="http://schemas.openxmlformats.org/officeDocument/2006/relationships/hyperlink" Target="https://careers.payoneer.com/" TargetMode="External"/><Relationship Id="rId174" Type="http://schemas.openxmlformats.org/officeDocument/2006/relationships/hyperlink" Target="https://www.linkedin.com/jobs/search/?keywords=Payoneer&amp;location=India" TargetMode="External"/><Relationship Id="rId175" Type="http://schemas.openxmlformats.org/officeDocument/2006/relationships/hyperlink" Target="https://careers.westernunion.com/job-details/13699957/manager-product-delivery-pune-in/" TargetMode="External"/><Relationship Id="rId176" Type="http://schemas.openxmlformats.org/officeDocument/2006/relationships/hyperlink" Target="https://careers.westernunion.com/india/" TargetMode="External"/><Relationship Id="rId177" Type="http://schemas.openxmlformats.org/officeDocument/2006/relationships/hyperlink" Target="https://www.linkedin.com/jobs/search/?keywords=Western%20Union&amp;location=India" TargetMode="External"/><Relationship Id="rId178" Type="http://schemas.openxmlformats.org/officeDocument/2006/relationships/hyperlink" Target="https://www.glassdoor.co.in/Jobs/Airwallex-Jobs-E1831889.htm" TargetMode="External"/><Relationship Id="rId179" Type="http://schemas.openxmlformats.org/officeDocument/2006/relationships/hyperlink" Target="https://careers.airwallex.com/jobs/" TargetMode="External"/><Relationship Id="rId180" Type="http://schemas.openxmlformats.org/officeDocument/2006/relationships/hyperlink" Target="https://www.linkedin.com/jobs/search/?keywords=Airwallex&amp;location=India" TargetMode="External"/><Relationship Id="rId181" Type="http://schemas.openxmlformats.org/officeDocument/2006/relationships/hyperlink" Target="https://www.instahyre.com/job-249880-lead-product-manager-at-open-financial-technologies-bangalore/" TargetMode="External"/><Relationship Id="rId182" Type="http://schemas.openxmlformats.org/officeDocument/2006/relationships/hyperlink" Target="https://www.linkedin.com/jobs/search/?keywords=Open%20Financial%20Technologies&amp;location=India" TargetMode="External"/><Relationship Id="rId183" Type="http://schemas.openxmlformats.org/officeDocument/2006/relationships/hyperlink" Target="https://www.linkedin.com/jobs/search/?keywords=Open%20Financial%20Technologies&amp;location=India" TargetMode="External"/><Relationship Id="rId184" Type="http://schemas.openxmlformats.org/officeDocument/2006/relationships/hyperlink" Target="https://startup.jobs/chief-product-officer-easebuzz-6440327" TargetMode="External"/><Relationship Id="rId185" Type="http://schemas.openxmlformats.org/officeDocument/2006/relationships/hyperlink" Target="https://easebuzz.in/careers/" TargetMode="External"/><Relationship Id="rId186" Type="http://schemas.openxmlformats.org/officeDocument/2006/relationships/hyperlink" Target="https://www.linkedin.com/jobs/search/?keywords=Easebuzz&amp;location=India" TargetMode="External"/><Relationship Id="rId187" Type="http://schemas.openxmlformats.org/officeDocument/2006/relationships/hyperlink" Target="https://www.themuse.com/jobs/wipro/consulting-partner-payments-2d9ff3" TargetMode="External"/><Relationship Id="rId188" Type="http://schemas.openxmlformats.org/officeDocument/2006/relationships/hyperlink" Target="https://careers.wipro.com/content/Experienced-Professionals/?locale=en_US" TargetMode="External"/><Relationship Id="rId189" Type="http://schemas.openxmlformats.org/officeDocument/2006/relationships/hyperlink" Target="https://www.linkedin.com/jobs/search/?keywords=Wipro&amp;location=India" TargetMode="External"/><Relationship Id="rId190" Type="http://schemas.openxmlformats.org/officeDocument/2006/relationships/hyperlink" Target="https://job-boards.greenhouse.io/capco/jobs/7278632" TargetMode="External"/><Relationship Id="rId191" Type="http://schemas.openxmlformats.org/officeDocument/2006/relationships/hyperlink" Target="https://job-boards.greenhouse.io/capco" TargetMode="External"/><Relationship Id="rId192" Type="http://schemas.openxmlformats.org/officeDocument/2006/relationships/hyperlink" Target="https://www.linkedin.com/jobs/search/?keywords=Capco&amp;location=India" TargetMode="External"/><Relationship Id="rId193" Type="http://schemas.openxmlformats.org/officeDocument/2006/relationships/hyperlink" Target="https://in.linkedin.com/jobs/genpact-jobs" TargetMode="External"/><Relationship Id="rId194" Type="http://schemas.openxmlformats.org/officeDocument/2006/relationships/hyperlink" Target="https://www.linkedin.com/company/genpact" TargetMode="External"/><Relationship Id="rId195" Type="http://schemas.openxmlformats.org/officeDocument/2006/relationships/hyperlink" Target="https://www.linkedin.com/jobs/search/?keywords=Genpact&amp;location=India" TargetMode="External"/><Relationship Id="rId196" Type="http://schemas.openxmlformats.org/officeDocument/2006/relationships/hyperlink" Target="https://www.instahyre.com/job-320485-product-manager-at-idfc-first-bank-mumbai/" TargetMode="External"/><Relationship Id="rId197" Type="http://schemas.openxmlformats.org/officeDocument/2006/relationships/hyperlink" Target="https://careers.idfcfirstbank.com/in/en/c/product-program-management-strategy-jobs" TargetMode="External"/><Relationship Id="rId198" Type="http://schemas.openxmlformats.org/officeDocument/2006/relationships/hyperlink" Target="https://www.linkedin.com/jobs/search/?keywords=IDFC%20FIRST%20Bank&amp;location=India" TargetMode="External"/><Relationship Id="rId199" Type="http://schemas.openxmlformats.org/officeDocument/2006/relationships/hyperlink" Target="https://www.iimjobs.com/j/rbl-bank-campaign-management-credit-cards-1349125" TargetMode="External"/><Relationship Id="rId200" Type="http://schemas.openxmlformats.org/officeDocument/2006/relationships/hyperlink" Target="https://www.rbl.bank.in/careers" TargetMode="External"/><Relationship Id="rId201" Type="http://schemas.openxmlformats.org/officeDocument/2006/relationships/hyperlink" Target="https://www.linkedin.com/jobs/search/?keywords=RBL%20Bank&amp;location=India" TargetMode="External"/><Relationship Id="rId202" Type="http://schemas.openxmlformats.org/officeDocument/2006/relationships/hyperlink" Target="https://www.jobaaj.com/job/supermoney-product-manager-bengaluru-bangalore-karnataka-2-to-4-years-1280733" TargetMode="External"/><Relationship Id="rId203" Type="http://schemas.openxmlformats.org/officeDocument/2006/relationships/hyperlink" Target="https://in.linkedin.com/company/getsupermoney" TargetMode="External"/><Relationship Id="rId204" Type="http://schemas.openxmlformats.org/officeDocument/2006/relationships/hyperlink" Target="https://www.linkedin.com/jobs/search/?keywords=super.money&amp;location=India" TargetMode="External"/><Relationship Id="rId205" Type="http://schemas.openxmlformats.org/officeDocument/2006/relationships/hyperlink" Target="https://www.uplers.com/company/navi-4688" TargetMode="External"/><Relationship Id="rId206" Type="http://schemas.openxmlformats.org/officeDocument/2006/relationships/hyperlink" Target="https://in.linkedin.com/company/go-navi" TargetMode="External"/><Relationship Id="rId207" Type="http://schemas.openxmlformats.org/officeDocument/2006/relationships/hyperlink" Target="https://www.linkedin.com/jobs/search/?keywords=Navi&amp;location=India" TargetMode="External"/><Relationship Id="rId208" Type="http://schemas.openxmlformats.org/officeDocument/2006/relationships/hyperlink" Target="https://wellfound.com/company/getonecard/jobs" TargetMode="External"/><Relationship Id="rId209" Type="http://schemas.openxmlformats.org/officeDocument/2006/relationships/hyperlink" Target="https://www.getonecard.app/careers/" TargetMode="External"/><Relationship Id="rId210" Type="http://schemas.openxmlformats.org/officeDocument/2006/relationships/hyperlink" Target="https://www.linkedin.com/jobs/search/?keywords=OneCard&amp;location=India" TargetMode="External"/><Relationship Id="rId211" Type="http://schemas.openxmlformats.org/officeDocument/2006/relationships/hyperlink" Target="https://getmereferred.com/job-listing/transaction-bankingbengaluruvice-presidentproduct-management-goldman-sachs-bengaluru-8-to-10-years-experience-8565e99d-1089-440f-9a61-ba71584cdb85" TargetMode="External"/><Relationship Id="rId212" Type="http://schemas.openxmlformats.org/officeDocument/2006/relationships/hyperlink" Target="https://higher.gs.com/" TargetMode="External"/><Relationship Id="rId213" Type="http://schemas.openxmlformats.org/officeDocument/2006/relationships/hyperlink" Target="https://www.linkedin.com/jobs/search/?keywords=Goldman%20Sachs&amp;location=India" TargetMode="External"/><Relationship Id="rId214" Type="http://schemas.openxmlformats.org/officeDocument/2006/relationships/hyperlink" Target="https://www.wellsfargojobs.com/en/jobs/r-539367/senior-digital-product-manager/" TargetMode="External"/><Relationship Id="rId215" Type="http://schemas.openxmlformats.org/officeDocument/2006/relationships/hyperlink" Target="https://wf.wd1.myworkdayjobs.com/WellsFargoJobs" TargetMode="External"/><Relationship Id="rId216" Type="http://schemas.openxmlformats.org/officeDocument/2006/relationships/hyperlink" Target="https://www.linkedin.com/jobs/search/?keywords=Wells%20Fargo&amp;location=India" TargetMode="External"/><Relationship Id="rId217" Type="http://schemas.openxmlformats.org/officeDocument/2006/relationships/hyperlink" Target="https://builtin.com/job/sr-analyst-data-analytics-and-insights-performance-marketing-l08/7654082" TargetMode="External"/><Relationship Id="rId218" Type="http://schemas.openxmlformats.org/officeDocument/2006/relationships/hyperlink" Target="https://www.linkedin.com/jobs/search/?keywords=Synchrony&amp;location=India" TargetMode="External"/><Relationship Id="rId219" Type="http://schemas.openxmlformats.org/officeDocument/2006/relationships/hyperlink" Target="https://www.linkedin.com/jobs/search/?keywords=Synchrony&amp;location=India" TargetMode="External"/><Relationship Id="rId220" Type="http://schemas.openxmlformats.org/officeDocument/2006/relationships/hyperlink" Target="https://jobs.natwestgroup.com/search/product-and-proposition/jobs/in/country/india" TargetMode="External"/><Relationship Id="rId221" Type="http://schemas.openxmlformats.org/officeDocument/2006/relationships/hyperlink" Target="https://jobs.natwestgroup.com/pages/india" TargetMode="External"/><Relationship Id="rId222" Type="http://schemas.openxmlformats.org/officeDocument/2006/relationships/hyperlink" Target="https://www.linkedin.com/jobs/search/?keywords=NatWest%20Group&amp;location=India" TargetMode="External"/><Relationship Id="rId223" Type="http://schemas.openxmlformats.org/officeDocument/2006/relationships/hyperlink" Target="https://www.glassdoor.co.in/Jobs/BNY-Jobs-E78.htm" TargetMode="External"/><Relationship Id="rId224" Type="http://schemas.openxmlformats.org/officeDocument/2006/relationships/hyperlink" Target="https://www.bny.com/corporate/global/en/careers.html/" TargetMode="External"/><Relationship Id="rId225" Type="http://schemas.openxmlformats.org/officeDocument/2006/relationships/hyperlink" Target="https://www.linkedin.com/jobs/search/?keywords=BNY&amp;location=India" TargetMode="External"/><Relationship Id="rId226" Type="http://schemas.openxmlformats.org/officeDocument/2006/relationships/hyperlink" Target="https://in.linkedin.com/jobs/intellect-design-arena-ltd-jobs" TargetMode="External"/><Relationship Id="rId227" Type="http://schemas.openxmlformats.org/officeDocument/2006/relationships/hyperlink" Target="https://www.intellectdesign.com/" TargetMode="External"/><Relationship Id="rId228" Type="http://schemas.openxmlformats.org/officeDocument/2006/relationships/hyperlink" Target="https://www.linkedin.com/jobs/search/?keywords=Intellect%20Design%20Arena&amp;location=India" TargetMode="External"/><Relationship Id="rId229" Type="http://schemas.openxmlformats.org/officeDocument/2006/relationships/hyperlink" Target="https://www.uplers.com/company/fss-5393" TargetMode="External"/><Relationship Id="rId230" Type="http://schemas.openxmlformats.org/officeDocument/2006/relationships/hyperlink" Target="https://www.uplers.com/company/fss-5393" TargetMode="External"/><Relationship Id="rId231" Type="http://schemas.openxmlformats.org/officeDocument/2006/relationships/hyperlink" Target="https://www.linkedin.com/jobs/search/?keywords=Financial%20Software%20and%20Systems&amp;location=India" TargetMode="External"/><Relationship Id="rId232" Type="http://schemas.openxmlformats.org/officeDocument/2006/relationships/hyperlink" Target="https://workopia.io/jobs/a203a50af0c0bbdec79f11bc6c643aed" TargetMode="External"/><Relationship Id="rId233" Type="http://schemas.openxmlformats.org/officeDocument/2006/relationships/hyperlink" Target="https://www.uplers.com/company/hitachi-payment-services-pvt-ltd-12393" TargetMode="External"/><Relationship Id="rId234" Type="http://schemas.openxmlformats.org/officeDocument/2006/relationships/hyperlink" Target="https://www.linkedin.com/jobs/search/?keywords=Hitachi%20Payment%20Services&amp;location=India" TargetMode="External"/><Relationship Id="rId235" Type="http://schemas.openxmlformats.org/officeDocument/2006/relationships/hyperlink" Target="https://www.bharat-connect.com/careers/apply/" TargetMode="External"/><Relationship Id="rId236" Type="http://schemas.openxmlformats.org/officeDocument/2006/relationships/hyperlink" Target="https://in.linkedin.com/company/bharat-billpay" TargetMode="External"/><Relationship Id="rId237" Type="http://schemas.openxmlformats.org/officeDocument/2006/relationships/hyperlink" Target="https://www.linkedin.com/jobs/search/?keywords=NPCI%20Bharat%20BillPay&amp;location=India" TargetMode="External"/><Relationship Id="rId238" Type="http://schemas.openxmlformats.org/officeDocument/2006/relationships/hyperlink" Target="https://www.iimjobs.com/company/fino-payments-bank-careers" TargetMode="External"/><Relationship Id="rId239" Type="http://schemas.openxmlformats.org/officeDocument/2006/relationships/hyperlink" Target="https://www.fino.bank.in/company/careers" TargetMode="External"/><Relationship Id="rId240" Type="http://schemas.openxmlformats.org/officeDocument/2006/relationships/hyperlink" Target="https://www.linkedin.com/jobs/search/?keywords=Fino%20Payments%20Bank&amp;location=India" TargetMode="External"/><Relationship Id="rId241" Type="http://schemas.openxmlformats.org/officeDocument/2006/relationships/hyperlink" Target="https://www.instahyre.com/job-116137-product-manager-senior-product-manager-at-enkash-bangalore-gurgaon-mumbai/" TargetMode="External"/><Relationship Id="rId242" Type="http://schemas.openxmlformats.org/officeDocument/2006/relationships/hyperlink" Target="https://www.linkedin.com/jobs/search/?keywords=EnKash&amp;location=India" TargetMode="External"/><Relationship Id="rId243" Type="http://schemas.openxmlformats.org/officeDocument/2006/relationships/hyperlink" Target="https://www.linkedin.com/jobs/search/?keywords=EnKash&amp;location=India" TargetMode="External"/><Relationship Id="rId244" Type="http://schemas.openxmlformats.org/officeDocument/2006/relationships/hyperlink" Target="https://www.instahyre.com/job-299429-associate-product-manager-at-hyperface-bangalore/" TargetMode="External"/><Relationship Id="rId245" Type="http://schemas.openxmlformats.org/officeDocument/2006/relationships/hyperlink" Target="https://www.linkedin.com/jobs/search/?keywords=Hyperface&amp;location=India" TargetMode="External"/><Relationship Id="rId246" Type="http://schemas.openxmlformats.org/officeDocument/2006/relationships/hyperlink" Target="https://www.linkedin.com/jobs/search/?keywords=Hyperface&amp;location=India" TargetMode="External"/><Relationship Id="rId247" Type="http://schemas.openxmlformats.org/officeDocument/2006/relationships/hyperlink" Target="https://www.instahyre.com/job-307355-business-head-at-zaggle-mumbai/" TargetMode="External"/><Relationship Id="rId248" Type="http://schemas.openxmlformats.org/officeDocument/2006/relationships/hyperlink" Target="https://www.uplers.com/company/zaggle-3962" TargetMode="External"/><Relationship Id="rId249" Type="http://schemas.openxmlformats.org/officeDocument/2006/relationships/hyperlink" Target="https://www.linkedin.com/jobs/search/?keywords=Zaggle&amp;location=India" TargetMode="External"/><Relationship Id="rId250" Type="http://schemas.openxmlformats.org/officeDocument/2006/relationships/hyperlink" Target="https://www.instahyre.com/jobs-at-innoviti-payment-solutions/" TargetMode="External"/><Relationship Id="rId251" Type="http://schemas.openxmlformats.org/officeDocument/2006/relationships/hyperlink" Target="https://cutshort.io/company/innoviti-payment-solutions-iopb4uFm" TargetMode="External"/><Relationship Id="rId252" Type="http://schemas.openxmlformats.org/officeDocument/2006/relationships/hyperlink" Target="https://www.linkedin.com/jobs/search/?keywords=Innoviti%20Payment%20Solutions&amp;location=India" TargetMode="External"/><Relationship Id="rId253" Type="http://schemas.openxmlformats.org/officeDocument/2006/relationships/hyperlink" Target="https://finzly.com/careers/product-manager/chennai-pune-india/" TargetMode="External"/><Relationship Id="rId254" Type="http://schemas.openxmlformats.org/officeDocument/2006/relationships/hyperlink" Target="https://www.linkedin.com/jobs/search/?keywords=Finzly&amp;location=India" TargetMode="External"/><Relationship Id="rId255" Type="http://schemas.openxmlformats.org/officeDocument/2006/relationships/hyperlink" Target="https://www.linkedin.com/jobs/search/?keywords=Finzly&amp;location=India" TargetMode="External"/><Relationship Id="rId256" Type="http://schemas.openxmlformats.org/officeDocument/2006/relationships/hyperlink" Target="https://in.expertini.com/jobs/in/infosys-finacle-payments-product-management-bengaluru-infosys-finacle/" TargetMode="External"/><Relationship Id="rId257" Type="http://schemas.openxmlformats.org/officeDocument/2006/relationships/hyperlink" Target="https://www.edgeverve.com/careers/" TargetMode="External"/><Relationship Id="rId258" Type="http://schemas.openxmlformats.org/officeDocument/2006/relationships/hyperlink" Target="https://www.linkedin.com/jobs/search/?keywords=EdgeVerve&amp;location=India" TargetMode="External"/><Relationship Id="rId259" Type="http://schemas.openxmlformats.org/officeDocument/2006/relationships/hyperlink" Target="https://www.glassdoor.com/Jobs/Finastra-Bangalore-Jobs-EI_IE1689268.0,8_IL.9,18_IM1091.htm" TargetMode="External"/><Relationship Id="rId260" Type="http://schemas.openxmlformats.org/officeDocument/2006/relationships/hyperlink" Target="https://careers.finastra.com/jobs" TargetMode="External"/><Relationship Id="rId261" Type="http://schemas.openxmlformats.org/officeDocument/2006/relationships/hyperlink" Target="https://www.linkedin.com/jobs/search/?keywords=Finastra&amp;location=India" TargetMode="External"/><Relationship Id="rId262" Type="http://schemas.openxmlformats.org/officeDocument/2006/relationships/hyperlink" Target="https://careers.alvarezandmarsal.com/search/jobs/in/country/india" TargetMode="External"/><Relationship Id="rId263" Type="http://schemas.openxmlformats.org/officeDocument/2006/relationships/hyperlink" Target="https://careers.alvarezandmarsal.com/" TargetMode="External"/><Relationship Id="rId264" Type="http://schemas.openxmlformats.org/officeDocument/2006/relationships/hyperlink" Target="https://www.linkedin.com/jobs/search/?keywords=Alvarez%20%26%20Marsal&amp;location=India" TargetMode="External"/><Relationship Id="rId265" Type="http://schemas.openxmlformats.org/officeDocument/2006/relationships/hyperlink" Target="https://in.linkedin.com/jobs/view/unit-manager-payments-upi-senior-unit-manager-payments-upi-at-bajaj-finserv-4034756746" TargetMode="External"/><Relationship Id="rId266" Type="http://schemas.openxmlformats.org/officeDocument/2006/relationships/hyperlink" Target="https://in.linkedin.com/jobs/bajaj-finserv-digital-product-manager-jobs" TargetMode="External"/><Relationship Id="rId267" Type="http://schemas.openxmlformats.org/officeDocument/2006/relationships/hyperlink" Target="https://www.linkedin.com/jobs/search/?keywords=Bajaj%20Finserv&amp;location=India" TargetMode="External"/><Relationship Id="rId268" Type="http://schemas.openxmlformats.org/officeDocument/2006/relationships/hyperlink" Target="https://iimjobs.com/j/indusind-bank-product-manager-digital-payments-4-8-yrs-1226962.html" TargetMode="External"/><Relationship Id="rId269" Type="http://schemas.openxmlformats.org/officeDocument/2006/relationships/hyperlink" Target="https://www.linkedin.com/jobs/search/?keywords=IndusInd%20Bank&amp;location=India" TargetMode="External"/><Relationship Id="rId270" Type="http://schemas.openxmlformats.org/officeDocument/2006/relationships/hyperlink" Target="https://www.linkedin.com/jobs/search/?keywords=IndusInd%20Bank&amp;location=India" TargetMode="External"/><Relationship Id="rId271" Type="http://schemas.openxmlformats.org/officeDocument/2006/relationships/hyperlink" Target="https://www.iimjobs.com/yes-bank-careers" TargetMode="External"/><Relationship Id="rId272" Type="http://schemas.openxmlformats.org/officeDocument/2006/relationships/hyperlink" Target="https://in.linkedin.com/jobs/yes-bank-jobs-mumbai-metropolitan-region" TargetMode="External"/><Relationship Id="rId273" Type="http://schemas.openxmlformats.org/officeDocument/2006/relationships/hyperlink" Target="https://www.linkedin.com/jobs/search/?keywords=Yes%20Bank&amp;location=India" TargetMode="External"/><Relationship Id="rId274" Type="http://schemas.openxmlformats.org/officeDocument/2006/relationships/hyperlink" Target="https://www.instahyre.com/job-131755-product-manager-at-jupiter-2-bangalore/" TargetMode="External"/><Relationship Id="rId275" Type="http://schemas.openxmlformats.org/officeDocument/2006/relationships/hyperlink" Target="https://www.linkedin.com/jobs/search/?keywords=Jupiter%20Money&amp;location=India" TargetMode="External"/><Relationship Id="rId276" Type="http://schemas.openxmlformats.org/officeDocument/2006/relationships/hyperlink" Target="https://www.linkedin.com/jobs/search/?keywords=Jupiter%20Money&amp;location=India" TargetMode="External"/><Relationship Id="rId277" Type="http://schemas.openxmlformats.org/officeDocument/2006/relationships/hyperlink" Target="https://cutshort.io/job/Intern-Product-Management-Bengaluru-Bangalore-Fi-Money-LoeMgFiB" TargetMode="External"/><Relationship Id="rId278" Type="http://schemas.openxmlformats.org/officeDocument/2006/relationships/hyperlink" Target="https://www.linkedin.com/jobs/search/?keywords=Fi%20Money&amp;location=India" TargetMode="External"/><Relationship Id="rId279" Type="http://schemas.openxmlformats.org/officeDocument/2006/relationships/hyperlink" Target="https://www.linkedin.com/jobs/search/?keywords=Fi%20Money&amp;location=India" TargetMode="External"/><Relationship Id="rId280" Type="http://schemas.openxmlformats.org/officeDocument/2006/relationships/hyperlink" Target="https://wellfound.com/jobs/1069063-product-manager" TargetMode="External"/><Relationship Id="rId281" Type="http://schemas.openxmlformats.org/officeDocument/2006/relationships/hyperlink" Target="https://www.linkedin.com/jobs/search/?keywords=Decentro&amp;location=India" TargetMode="External"/><Relationship Id="rId282" Type="http://schemas.openxmlformats.org/officeDocument/2006/relationships/hyperlink" Target="https://www.linkedin.com/jobs/search/?keywords=Decentro&amp;location=India" TargetMode="External"/><Relationship Id="rId283" Type="http://schemas.openxmlformats.org/officeDocument/2006/relationships/hyperlink" Target="https://careers.cognizant.com/us-en/jobs/00066270001/cards-and-payments-business-analyst/" TargetMode="External"/><Relationship Id="rId284" Type="http://schemas.openxmlformats.org/officeDocument/2006/relationships/hyperlink" Target="https://careers.cognizant.com/india-en/" TargetMode="External"/><Relationship Id="rId285" Type="http://schemas.openxmlformats.org/officeDocument/2006/relationships/hyperlink" Target="https://www.linkedin.com/jobs/search/?keywords=Cognizant&amp;location=India" TargetMode="External"/><Relationship Id="rId286" Type="http://schemas.openxmlformats.org/officeDocument/2006/relationships/hyperlink" Target="https://www.jobaaj.com/job/tata-consultancy-services-limited-bfsi-analyst-delhi-ncr-1-to-2-years-582906" TargetMode="External"/><Relationship Id="rId287" Type="http://schemas.openxmlformats.org/officeDocument/2006/relationships/hyperlink" Target="https://www.tcs.com/careers/india" TargetMode="External"/><Relationship Id="rId288" Type="http://schemas.openxmlformats.org/officeDocument/2006/relationships/hyperlink" Target="https://www.linkedin.com/jobs/search/?keywords=Tata%20Consultancy%20Services&amp;location=India" TargetMode="External"/><Relationship Id="rId289" Type="http://schemas.openxmlformats.org/officeDocument/2006/relationships/hyperlink" Target="https://www.instahyre.com/job-110024-product-manager-upi-at-slice-bangalore/" TargetMode="External"/><Relationship Id="rId290" Type="http://schemas.openxmlformats.org/officeDocument/2006/relationships/hyperlink" Target="https://www.linkedin.com/jobs/search/?keywords=slice&amp;location=India" TargetMode="External"/><Relationship Id="rId291" Type="http://schemas.openxmlformats.org/officeDocument/2006/relationships/hyperlink" Target="https://www.linkedin.com/jobs/search/?keywords=slice&amp;location=India" TargetMode="External"/><Relationship Id="rId292" Type="http://schemas.openxmlformats.org/officeDocument/2006/relationships/hyperlink" Target="https://tazapay.freshteam.com/jobs" TargetMode="External"/><Relationship Id="rId293" Type="http://schemas.openxmlformats.org/officeDocument/2006/relationships/hyperlink" Target="https://tazapay.com/careers" TargetMode="External"/><Relationship Id="rId294" Type="http://schemas.openxmlformats.org/officeDocument/2006/relationships/hyperlink" Target="https://www.linkedin.com/jobs/search/?keywords=Tazapay&amp;location=India" TargetMode="External"/><Relationship Id="rId295" Type="http://schemas.openxmlformats.org/officeDocument/2006/relationships/hyperlink" Target="https://in.linkedin.com/jobs/temenos-jobs" TargetMode="External"/><Relationship Id="rId296" Type="http://schemas.openxmlformats.org/officeDocument/2006/relationships/hyperlink" Target="https://temenos.wd103.myworkdayjobs.com/Temenoscareers" TargetMode="External"/><Relationship Id="rId297" Type="http://schemas.openxmlformats.org/officeDocument/2006/relationships/hyperlink" Target="https://www.linkedin.com/jobs/search/?keywords=Temenos&amp;location=India" TargetMode="External"/><Relationship Id="rId298" Type="http://schemas.openxmlformats.org/officeDocument/2006/relationships/hyperlink" Target="https://www.naukri.com/protiviti-jobs" TargetMode="External"/><Relationship Id="rId299" Type="http://schemas.openxmlformats.org/officeDocument/2006/relationships/hyperlink" Target="https://in.linkedin.com/company/protiviti-india-member-firm" TargetMode="External"/><Relationship Id="rId300" Type="http://schemas.openxmlformats.org/officeDocument/2006/relationships/hyperlink" Target="https://www.linkedin.com/jobs/search/?keywords=Protiviti%20India&amp;location=India" TargetMode="External"/><Relationship Id="rId301" Type="http://schemas.openxmlformats.org/officeDocument/2006/relationships/hyperlink" Target="https://www.instahyre.com/job-120279-product-manager-at-uni-cards-2-bangalore/" TargetMode="External"/><Relationship Id="rId302" Type="http://schemas.openxmlformats.org/officeDocument/2006/relationships/hyperlink" Target="https://www.linkedin.com/jobs/search/?keywords=Uni%20Cards&amp;location=India" TargetMode="External"/><Relationship Id="rId303" Type="http://schemas.openxmlformats.org/officeDocument/2006/relationships/hyperlink" Target="https://www.linkedin.com/jobs/search/?keywords=Uni%20Cards&amp;location=India" TargetMode="External"/><Relationship Id="rId304" Type="http://schemas.openxmlformats.org/officeDocument/2006/relationships/hyperlink" Target="https://www.instahyre.com/job-414204-product-manager-at-groww-2-bangalore/" TargetMode="External"/><Relationship Id="rId305" Type="http://schemas.openxmlformats.org/officeDocument/2006/relationships/hyperlink" Target="https://www.uplers.com/company/groww-8773" TargetMode="External"/><Relationship Id="rId306" Type="http://schemas.openxmlformats.org/officeDocument/2006/relationships/hyperlink" Target="https://www.linkedin.com/jobs/search/?keywords=Groww&amp;location=India" TargetMode="External"/><Relationship Id="rId307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accenture.com/us-en/careers/jobdetails?id=R00284179_en" TargetMode="External"/><Relationship Id="rId2" Type="http://schemas.openxmlformats.org/officeDocument/2006/relationships/hyperlink" Target="https://www.accenture.com/in-en/careers/explore-careers/area-of-interest/strategy-careers" TargetMode="External"/><Relationship Id="rId3" Type="http://schemas.openxmlformats.org/officeDocument/2006/relationships/hyperlink" Target="https://www.accenture.com/us-en/careers/jobdetails?id=R00305688_en" TargetMode="External"/><Relationship Id="rId4" Type="http://schemas.openxmlformats.org/officeDocument/2006/relationships/hyperlink" Target="https://www.accenture.com/in-en/careers/explore-careers/area-of-interest/strategy-careers" TargetMode="External"/><Relationship Id="rId5" Type="http://schemas.openxmlformats.org/officeDocument/2006/relationships/hyperlink" Target="https://www.accenture.com/us-en/careers/jobdetails?id=R00305675_en" TargetMode="External"/><Relationship Id="rId6" Type="http://schemas.openxmlformats.org/officeDocument/2006/relationships/hyperlink" Target="https://www.accenture.com/in-en/careers/explore-careers/area-of-interest/strategy-careers" TargetMode="External"/><Relationship Id="rId7" Type="http://schemas.openxmlformats.org/officeDocument/2006/relationships/hyperlink" Target="https://careers.alvarezandmarsal.com/search/jobs/in/country/india" TargetMode="External"/><Relationship Id="rId8" Type="http://schemas.openxmlformats.org/officeDocument/2006/relationships/hyperlink" Target="https://careers.alvarezandmarsal.com/" TargetMode="External"/><Relationship Id="rId9" Type="http://schemas.openxmlformats.org/officeDocument/2006/relationships/hyperlink" Target="https://www.bain.com/careers/find-a-role/position/?jobid=102140" TargetMode="External"/><Relationship Id="rId10" Type="http://schemas.openxmlformats.org/officeDocument/2006/relationships/hyperlink" Target="https://www.bain.com/careers/" TargetMode="External"/><Relationship Id="rId11" Type="http://schemas.openxmlformats.org/officeDocument/2006/relationships/hyperlink" Target="https://www.bain.com/careers/find-a-role/position/?jobid=90399" TargetMode="External"/><Relationship Id="rId12" Type="http://schemas.openxmlformats.org/officeDocument/2006/relationships/hyperlink" Target="https://www.bain.com/careers/" TargetMode="External"/><Relationship Id="rId13" Type="http://schemas.openxmlformats.org/officeDocument/2006/relationships/hyperlink" Target="https://careers.bcg.com/global/en/locations/india" TargetMode="External"/><Relationship Id="rId14" Type="http://schemas.openxmlformats.org/officeDocument/2006/relationships/hyperlink" Target="https://careers.bcg.com/global/en/locations/india" TargetMode="External"/><Relationship Id="rId15" Type="http://schemas.openxmlformats.org/officeDocument/2006/relationships/hyperlink" Target="https://job-boards.greenhouse.io/capco/jobs/7278632" TargetMode="External"/><Relationship Id="rId16" Type="http://schemas.openxmlformats.org/officeDocument/2006/relationships/hyperlink" Target="https://job-boards.greenhouse.io/capco" TargetMode="External"/><Relationship Id="rId17" Type="http://schemas.openxmlformats.org/officeDocument/2006/relationships/hyperlink" Target="https://www.capgemini.com/in-en/careers/" TargetMode="External"/><Relationship Id="rId18" Type="http://schemas.openxmlformats.org/officeDocument/2006/relationships/hyperlink" Target="https://in.linkedin.com/company/capgemini/jobs" TargetMode="External"/><Relationship Id="rId19" Type="http://schemas.openxmlformats.org/officeDocument/2006/relationships/hyperlink" Target="https://careers.cognizant.com/us-en/jobs/00066270001/cards-and-payments-business-analyst/" TargetMode="External"/><Relationship Id="rId20" Type="http://schemas.openxmlformats.org/officeDocument/2006/relationships/hyperlink" Target="https://careers.cognizant.com/india-en/" TargetMode="External"/><Relationship Id="rId21" Type="http://schemas.openxmlformats.org/officeDocument/2006/relationships/hyperlink" Target="https://careers.cognizant.com/india-en/jobs/00066859891/consulting-analyst/" TargetMode="External"/><Relationship Id="rId22" Type="http://schemas.openxmlformats.org/officeDocument/2006/relationships/hyperlink" Target="https://careers.cognizant.com/india-en/" TargetMode="External"/><Relationship Id="rId23" Type="http://schemas.openxmlformats.org/officeDocument/2006/relationships/hyperlink" Target="https://southasiacareers.deloitte.com/job/Bengaluru-Consultant-Financial-Services-Mumbai-Customer-Strategy-&amp;-Design/54711044" TargetMode="External"/><Relationship Id="rId24" Type="http://schemas.openxmlformats.org/officeDocument/2006/relationships/hyperlink" Target="https://southasiacareers.deloitte.com/" TargetMode="External"/><Relationship Id="rId25" Type="http://schemas.openxmlformats.org/officeDocument/2006/relationships/hyperlink" Target="https://southasiacareers.deloitte.com/job/Bengaluru-Senior-Consultant-BA-General-Banking-Bengaluru-Customer-Strategy-&amp;-Design/58394444/" TargetMode="External"/><Relationship Id="rId26" Type="http://schemas.openxmlformats.org/officeDocument/2006/relationships/hyperlink" Target="https://southasiacareers.deloitte.com/" TargetMode="External"/><Relationship Id="rId27" Type="http://schemas.openxmlformats.org/officeDocument/2006/relationships/hyperlink" Target="https://southasiacareers.deloitte.com/job/Bengaluru-T&amp;T-Customer-Customer-Strategy-&amp;-Design-Senior-Consultant-FX-PM/54382744/" TargetMode="External"/><Relationship Id="rId28" Type="http://schemas.openxmlformats.org/officeDocument/2006/relationships/hyperlink" Target="https://southasiacareers.deloitte.com/" TargetMode="External"/><Relationship Id="rId29" Type="http://schemas.openxmlformats.org/officeDocument/2006/relationships/hyperlink" Target="https://careers.ey.com/ey/job/Mumbai-Senior-Consultant-Business-Consulting-PI-FS-CNS-BC-Marketing-Sales-&amp;-Service-Bangalore-MH-400028/1366215433/" TargetMode="External"/><Relationship Id="rId30" Type="http://schemas.openxmlformats.org/officeDocument/2006/relationships/hyperlink" Target="https://www.ey.com/en_in/careers/consulting" TargetMode="External"/><Relationship Id="rId31" Type="http://schemas.openxmlformats.org/officeDocument/2006/relationships/hyperlink" Target="https://www.ziprecruiter.in/jobs/607454079-consultant-business-consulting-pi-fs-cns-bc-marketing-sales-service-mumbai-at-ernst-young" TargetMode="External"/><Relationship Id="rId32" Type="http://schemas.openxmlformats.org/officeDocument/2006/relationships/hyperlink" Target="https://www.ey.com/en_in/careers/consulting" TargetMode="External"/><Relationship Id="rId33" Type="http://schemas.openxmlformats.org/officeDocument/2006/relationships/hyperlink" Target="https://www.ey.com/en_in/careers/parthenon" TargetMode="External"/><Relationship Id="rId34" Type="http://schemas.openxmlformats.org/officeDocument/2006/relationships/hyperlink" Target="https://in.linkedin.com/jobs/ey-parthenon-jobs" TargetMode="External"/><Relationship Id="rId35" Type="http://schemas.openxmlformats.org/officeDocument/2006/relationships/hyperlink" Target="https://in.linkedin.com/jobs/genpact-jobs" TargetMode="External"/><Relationship Id="rId36" Type="http://schemas.openxmlformats.org/officeDocument/2006/relationships/hyperlink" Target="https://www.linkedin.com/company/genpact" TargetMode="External"/><Relationship Id="rId37" Type="http://schemas.openxmlformats.org/officeDocument/2006/relationships/hyperlink" Target="https://www.grantthornton.in/current-opportunities/" TargetMode="External"/><Relationship Id="rId38" Type="http://schemas.openxmlformats.org/officeDocument/2006/relationships/hyperlink" Target="https://www.grantthornton.in/services/consulting/business-consulting/financial-services-consulting/" TargetMode="External"/><Relationship Id="rId39" Type="http://schemas.openxmlformats.org/officeDocument/2006/relationships/hyperlink" Target="https://www.kearney.com/about/locations/india/careers" TargetMode="External"/><Relationship Id="rId40" Type="http://schemas.openxmlformats.org/officeDocument/2006/relationships/hyperlink" Target="https://www.kearney.com/careers/opportunities" TargetMode="External"/><Relationship Id="rId41" Type="http://schemas.openxmlformats.org/officeDocument/2006/relationships/hyperlink" Target="https://www.foundit.in/search/kpmg-jobs-in-gurgaon-gurugram" TargetMode="External"/><Relationship Id="rId42" Type="http://schemas.openxmlformats.org/officeDocument/2006/relationships/hyperlink" Target="https://kpmg.com/in/en/careers.html" TargetMode="External"/><Relationship Id="rId43" Type="http://schemas.openxmlformats.org/officeDocument/2006/relationships/hyperlink" Target="https://mckinsey.com/careers/search-jobs/jobs/capabilitiesandinsightsanalyst-panoramafinancialinstitutionscenter-97040" TargetMode="External"/><Relationship Id="rId44" Type="http://schemas.openxmlformats.org/officeDocument/2006/relationships/hyperlink" Target="https://www.mckinsey.com/in/careers-in-india" TargetMode="External"/><Relationship Id="rId45" Type="http://schemas.openxmlformats.org/officeDocument/2006/relationships/hyperlink" Target="https://www.oliverwyman.com/careers.html" TargetMode="External"/><Relationship Id="rId46" Type="http://schemas.openxmlformats.org/officeDocument/2006/relationships/hyperlink" Target="https://www.oliverwyman.com/careers.html" TargetMode="External"/><Relationship Id="rId47" Type="http://schemas.openxmlformats.org/officeDocument/2006/relationships/hyperlink" Target="https://bebee.com/in/jobs/praxis-global-alliance-consultant-praxis-global-alliance-mumbai-maharashtra--t7xk-780504220" TargetMode="External"/><Relationship Id="rId48" Type="http://schemas.openxmlformats.org/officeDocument/2006/relationships/hyperlink" Target="https://www.praxisga.com/career" TargetMode="External"/><Relationship Id="rId49" Type="http://schemas.openxmlformats.org/officeDocument/2006/relationships/hyperlink" Target="https://www.naukri.com/protiviti-jobs" TargetMode="External"/><Relationship Id="rId50" Type="http://schemas.openxmlformats.org/officeDocument/2006/relationships/hyperlink" Target="https://in.linkedin.com/company/protiviti-india-member-firm" TargetMode="External"/><Relationship Id="rId51" Type="http://schemas.openxmlformats.org/officeDocument/2006/relationships/hyperlink" Target="https://bebee.com/in/jobs/in-associate-fs-consulting-financial-services-advisory-mumbai-pwc-india-mumbai-city--fj-2137359807" TargetMode="External"/><Relationship Id="rId52" Type="http://schemas.openxmlformats.org/officeDocument/2006/relationships/hyperlink" Target="https://www.pwc.in/careers/job-search.html" TargetMode="External"/><Relationship Id="rId53" Type="http://schemas.openxmlformats.org/officeDocument/2006/relationships/hyperlink" Target="https://www.naukri.com/redseer-consulting-jobs-careers-703413" TargetMode="External"/><Relationship Id="rId54" Type="http://schemas.openxmlformats.org/officeDocument/2006/relationships/hyperlink" Target="https://in.linkedin.com/company/redseer" TargetMode="External"/><Relationship Id="rId55" Type="http://schemas.openxmlformats.org/officeDocument/2006/relationships/hyperlink" Target="https://www.rolandberger.com/en/Join/All-Jobs/" TargetMode="External"/><Relationship Id="rId56" Type="http://schemas.openxmlformats.org/officeDocument/2006/relationships/hyperlink" Target="https://www.rolandberger.com/en/India/" TargetMode="External"/><Relationship Id="rId57" Type="http://schemas.openxmlformats.org/officeDocument/2006/relationships/hyperlink" Target="https://www.simon-kucher.com/en/careers" TargetMode="External"/><Relationship Id="rId58" Type="http://schemas.openxmlformats.org/officeDocument/2006/relationships/hyperlink" Target="https://www.simon-kucher.com/en/country/india" TargetMode="External"/><Relationship Id="rId59" Type="http://schemas.openxmlformats.org/officeDocument/2006/relationships/hyperlink" Target="https://www.jobaaj.com/job/tata-consultancy-services-limited-bfsi-analyst-delhi-ncr-1-to-2-years-582906" TargetMode="External"/><Relationship Id="rId60" Type="http://schemas.openxmlformats.org/officeDocument/2006/relationships/hyperlink" Target="https://www.tcs.com/careers/india" TargetMode="External"/><Relationship Id="rId61" Type="http://schemas.openxmlformats.org/officeDocument/2006/relationships/hyperlink" Target="https://www.themuse.com/jobs/wipro/consulting-partner-payments-2d9ff3" TargetMode="External"/><Relationship Id="rId62" Type="http://schemas.openxmlformats.org/officeDocument/2006/relationships/hyperlink" Target="https://careers.wipro.com/content/Experienced-Professionals/?locale=en_US" TargetMode="External"/><Relationship Id="rId63" Type="http://schemas.openxmlformats.org/officeDocument/2006/relationships/hyperlink" Target="https://themuse.com/jobs/wipro/managing-consultant-9c3fee" TargetMode="External"/><Relationship Id="rId64" Type="http://schemas.openxmlformats.org/officeDocument/2006/relationships/hyperlink" Target="https://careers.wipro.com/content/Experienced-Professionals/?locale=en_US" TargetMode="External"/><Relationship Id="rId65" Type="http://schemas.openxmlformats.org/officeDocument/2006/relationships/hyperlink" Target="https://in.linkedin.com/jobs/wipro-domain-consultant-jobs" TargetMode="External"/><Relationship Id="rId66" Type="http://schemas.openxmlformats.org/officeDocument/2006/relationships/hyperlink" Target="https://careers.wipro.com/content/Experienced-Professionals/?locale=en_US" TargetMode="External"/><Relationship Id="rId67" Type="http://schemas.openxmlformats.org/officeDocument/2006/relationships/hyperlink" Target="https://in.linkedin.com/jobs/view/unit-manager-payments-upi-senior-unit-manager-payments-upi-at-bajaj-finserv-4034756746" TargetMode="External"/><Relationship Id="rId68" Type="http://schemas.openxmlformats.org/officeDocument/2006/relationships/hyperlink" Target="https://in.linkedin.com/jobs/bajaj-finserv-digital-product-manager-jobs" TargetMode="External"/><Relationship Id="rId69" Type="http://schemas.openxmlformats.org/officeDocument/2006/relationships/hyperlink" Target="https://unstop.com/jobs/manager-digital-product-finance-growth-bajaj-finserv-1118854" TargetMode="External"/><Relationship Id="rId70" Type="http://schemas.openxmlformats.org/officeDocument/2006/relationships/hyperlink" Target="https://in.linkedin.com/jobs/bajaj-finserv-digital-product-manager-jobs" TargetMode="External"/><Relationship Id="rId71" Type="http://schemas.openxmlformats.org/officeDocument/2006/relationships/hyperlink" Target="https://jobs.insightpartners.com/companies/bharatpe-2/jobs/79697323-senior-product-manager" TargetMode="External"/><Relationship Id="rId72" Type="http://schemas.openxmlformats.org/officeDocument/2006/relationships/hyperlink" Target="https://in.linkedin.com/company/bharatpe/jobs" TargetMode="External"/><Relationship Id="rId73" Type="http://schemas.openxmlformats.org/officeDocument/2006/relationships/hyperlink" Target="https://careers.kula.ai/cashfree/18060-product-manager-2" TargetMode="External"/><Relationship Id="rId74" Type="http://schemas.openxmlformats.org/officeDocument/2006/relationships/hyperlink" Target="https://careers.kula.ai/cashfree" TargetMode="External"/><Relationship Id="rId75" Type="http://schemas.openxmlformats.org/officeDocument/2006/relationships/hyperlink" Target="https://startup.jobs/product-manager-growth-platform-cashfree-3691649" TargetMode="External"/><Relationship Id="rId76" Type="http://schemas.openxmlformats.org/officeDocument/2006/relationships/hyperlink" Target="https://careers.kula.ai/cashfree" TargetMode="External"/><Relationship Id="rId77" Type="http://schemas.openxmlformats.org/officeDocument/2006/relationships/hyperlink" Target="https://startup.jobs/product-manager-growth-cred_club-3005748" TargetMode="External"/><Relationship Id="rId78" Type="http://schemas.openxmlformats.org/officeDocument/2006/relationships/hyperlink" Target="https://careers.cred.club/openings" TargetMode="External"/><Relationship Id="rId79" Type="http://schemas.openxmlformats.org/officeDocument/2006/relationships/hyperlink" Target="https://startup.jobs/product-manager-platform-cred_club-7797651" TargetMode="External"/><Relationship Id="rId80" Type="http://schemas.openxmlformats.org/officeDocument/2006/relationships/hyperlink" Target="https://careers.cred.club/openings" TargetMode="External"/><Relationship Id="rId81" Type="http://schemas.openxmlformats.org/officeDocument/2006/relationships/hyperlink" Target="https://wellfound.com/jobs/1069063-product-manager" TargetMode="External"/><Relationship Id="rId82" Type="http://schemas.openxmlformats.org/officeDocument/2006/relationships/hyperlink" Target="https://www.linkedin.com/jobs/search/?keywords=Decentro&amp;location=India" TargetMode="External"/><Relationship Id="rId83" Type="http://schemas.openxmlformats.org/officeDocument/2006/relationships/hyperlink" Target="https://startup.jobs/chief-product-officer-easebuzz-6440327" TargetMode="External"/><Relationship Id="rId84" Type="http://schemas.openxmlformats.org/officeDocument/2006/relationships/hyperlink" Target="https://easebuzz.in/careers/" TargetMode="External"/><Relationship Id="rId85" Type="http://schemas.openxmlformats.org/officeDocument/2006/relationships/hyperlink" Target="https://www.instahyre.com/job-116137-product-manager-senior-product-manager-at-enkash-bangalore-gurgaon-mumbai/" TargetMode="External"/><Relationship Id="rId86" Type="http://schemas.openxmlformats.org/officeDocument/2006/relationships/hyperlink" Target="https://www.linkedin.com/jobs/search/?keywords=EnKash&amp;location=India" TargetMode="External"/><Relationship Id="rId87" Type="http://schemas.openxmlformats.org/officeDocument/2006/relationships/hyperlink" Target="https://cutshort.io/job/Intern-Product-Management-Bengaluru-Bangalore-Fi-Money-LoeMgFiB" TargetMode="External"/><Relationship Id="rId88" Type="http://schemas.openxmlformats.org/officeDocument/2006/relationships/hyperlink" Target="https://www.linkedin.com/jobs/search/?keywords=Fi%20Money&amp;location=India" TargetMode="External"/><Relationship Id="rId89" Type="http://schemas.openxmlformats.org/officeDocument/2006/relationships/hyperlink" Target="https://www.instahyre.com/job-414204-product-manager-at-groww-2-bangalore/" TargetMode="External"/><Relationship Id="rId90" Type="http://schemas.openxmlformats.org/officeDocument/2006/relationships/hyperlink" Target="https://www.uplers.com/company/groww-8773" TargetMode="External"/><Relationship Id="rId91" Type="http://schemas.openxmlformats.org/officeDocument/2006/relationships/hyperlink" Target="https://www.instahyre.com/job-299429-associate-product-manager-at-hyperface-bangalore/" TargetMode="External"/><Relationship Id="rId92" Type="http://schemas.openxmlformats.org/officeDocument/2006/relationships/hyperlink" Target="https://www.linkedin.com/jobs/search/?keywords=Hyperface&amp;location=India" TargetMode="External"/><Relationship Id="rId93" Type="http://schemas.openxmlformats.org/officeDocument/2006/relationships/hyperlink" Target="https://www.instahyre.com/jobs-at-innoviti-payment-solutions/" TargetMode="External"/><Relationship Id="rId94" Type="http://schemas.openxmlformats.org/officeDocument/2006/relationships/hyperlink" Target="https://cutshort.io/company/innoviti-payment-solutions-iopb4uFm" TargetMode="External"/><Relationship Id="rId95" Type="http://schemas.openxmlformats.org/officeDocument/2006/relationships/hyperlink" Target="https://www.instahyre.com/job-131755-product-manager-at-jupiter-2-bangalore/" TargetMode="External"/><Relationship Id="rId96" Type="http://schemas.openxmlformats.org/officeDocument/2006/relationships/hyperlink" Target="https://www.linkedin.com/jobs/search/?keywords=Jupiter%20Money&amp;location=India" TargetMode="External"/><Relationship Id="rId97" Type="http://schemas.openxmlformats.org/officeDocument/2006/relationships/hyperlink" Target="https://www.instahyre.com/job-74182-product-manager-apm-at-juspay-bangalore/" TargetMode="External"/><Relationship Id="rId98" Type="http://schemas.openxmlformats.org/officeDocument/2006/relationships/hyperlink" Target="https://in.linkedin.com/jobs/juspay-jobs" TargetMode="External"/><Relationship Id="rId99" Type="http://schemas.openxmlformats.org/officeDocument/2006/relationships/hyperlink" Target="https://in.linkedin.com/jobs/view/business-development-manager-at-juspay-4441197291" TargetMode="External"/><Relationship Id="rId100" Type="http://schemas.openxmlformats.org/officeDocument/2006/relationships/hyperlink" Target="https://in.linkedin.com/jobs/juspay-jobs" TargetMode="External"/><Relationship Id="rId101" Type="http://schemas.openxmlformats.org/officeDocument/2006/relationships/hyperlink" Target="https://www.iimjobs.com/j/m-2-p-fintech-product-manager-3-6-yrs-1420797" TargetMode="External"/><Relationship Id="rId102" Type="http://schemas.openxmlformats.org/officeDocument/2006/relationships/hyperlink" Target="https://careers.m2pfintech.com/" TargetMode="External"/><Relationship Id="rId103" Type="http://schemas.openxmlformats.org/officeDocument/2006/relationships/hyperlink" Target="https://bebee.com/in/jobs/associate-director-payments-m2p-fintech-chennai-tamil-nadu--t7xk-798903653" TargetMode="External"/><Relationship Id="rId104" Type="http://schemas.openxmlformats.org/officeDocument/2006/relationships/hyperlink" Target="https://careers.m2pfintech.com/" TargetMode="External"/><Relationship Id="rId105" Type="http://schemas.openxmlformats.org/officeDocument/2006/relationships/hyperlink" Target="https://www.instahyre.com/job-116220-product-manager-at-mobikwik-2-gurgaon/" TargetMode="External"/><Relationship Id="rId106" Type="http://schemas.openxmlformats.org/officeDocument/2006/relationships/hyperlink" Target="https://www.mobikwik.com/careers" TargetMode="External"/><Relationship Id="rId107" Type="http://schemas.openxmlformats.org/officeDocument/2006/relationships/hyperlink" Target="https://www.iimjobs.com/j/one-mobikwik-systems-manager-growth-marketing-1674275" TargetMode="External"/><Relationship Id="rId108" Type="http://schemas.openxmlformats.org/officeDocument/2006/relationships/hyperlink" Target="https://www.mobikwik.com/careers" TargetMode="External"/><Relationship Id="rId109" Type="http://schemas.openxmlformats.org/officeDocument/2006/relationships/hyperlink" Target="https://www.uplers.com/company/navi-4688" TargetMode="External"/><Relationship Id="rId110" Type="http://schemas.openxmlformats.org/officeDocument/2006/relationships/hyperlink" Target="https://in.linkedin.com/company/go-navi" TargetMode="External"/><Relationship Id="rId111" Type="http://schemas.openxmlformats.org/officeDocument/2006/relationships/hyperlink" Target="https://wellfound.com/company/getonecard/jobs" TargetMode="External"/><Relationship Id="rId112" Type="http://schemas.openxmlformats.org/officeDocument/2006/relationships/hyperlink" Target="https://www.getonecard.app/careers/" TargetMode="External"/><Relationship Id="rId113" Type="http://schemas.openxmlformats.org/officeDocument/2006/relationships/hyperlink" Target="https://www.instahyre.com/job-249880-lead-product-manager-at-open-financial-technologies-bangalore/" TargetMode="External"/><Relationship Id="rId114" Type="http://schemas.openxmlformats.org/officeDocument/2006/relationships/hyperlink" Target="https://www.linkedin.com/jobs/search/?keywords=Open%20Financial%20Technologies&amp;location=India" TargetMode="External"/><Relationship Id="rId115" Type="http://schemas.openxmlformats.org/officeDocument/2006/relationships/hyperlink" Target="https://www.foundit.in/job/senior-product-manager-open-financial-technologies-bengaluru-bangalore-39061518" TargetMode="External"/><Relationship Id="rId116" Type="http://schemas.openxmlformats.org/officeDocument/2006/relationships/hyperlink" Target="https://www.linkedin.com/jobs/search/?keywords=Open%20Financial%20Technologies&amp;location=India" TargetMode="External"/><Relationship Id="rId117" Type="http://schemas.openxmlformats.org/officeDocument/2006/relationships/hyperlink" Target="https://jobs.lever.co/paytm/64241793-684f-4dde-9447-36a14e499d4e" TargetMode="External"/><Relationship Id="rId118" Type="http://schemas.openxmlformats.org/officeDocument/2006/relationships/hyperlink" Target="https://jobs.lever.co/paytm" TargetMode="External"/><Relationship Id="rId119" Type="http://schemas.openxmlformats.org/officeDocument/2006/relationships/hyperlink" Target="https://jobs.lever.co/paytm/96a54691-f0c2-46d8-88d1-ee0a84b3b046" TargetMode="External"/><Relationship Id="rId120" Type="http://schemas.openxmlformats.org/officeDocument/2006/relationships/hyperlink" Target="https://jobs.lever.co/paytm" TargetMode="External"/><Relationship Id="rId121" Type="http://schemas.openxmlformats.org/officeDocument/2006/relationships/hyperlink" Target="https://jobs.lever.co/paytm/5d6ad294-c8ac-49b6-9142-e7d67cb6af8a" TargetMode="External"/><Relationship Id="rId122" Type="http://schemas.openxmlformats.org/officeDocument/2006/relationships/hyperlink" Target="https://jobs.lever.co/paytm" TargetMode="External"/><Relationship Id="rId123" Type="http://schemas.openxmlformats.org/officeDocument/2006/relationships/hyperlink" Target="https://jobs.lever.co/paytmpayments/bfa2ae56-2653-4c57-b612-626e38b1bfba" TargetMode="External"/><Relationship Id="rId124" Type="http://schemas.openxmlformats.org/officeDocument/2006/relationships/hyperlink" Target="https://jobs.lever.co/paytmpayments" TargetMode="External"/><Relationship Id="rId125" Type="http://schemas.openxmlformats.org/officeDocument/2006/relationships/hyperlink" Target="https://careers.payu.in/PayU/job/Bengaluru-Product-Manager-Merchant-Management/3966280/" TargetMode="External"/><Relationship Id="rId126" Type="http://schemas.openxmlformats.org/officeDocument/2006/relationships/hyperlink" Target="https://in.linkedin.com/jobs/payu-jobs" TargetMode="External"/><Relationship Id="rId127" Type="http://schemas.openxmlformats.org/officeDocument/2006/relationships/hyperlink" Target="https://careers.payu.in/PayU/job/Gurgaon-Product-Manager-PPI/4097880/" TargetMode="External"/><Relationship Id="rId128" Type="http://schemas.openxmlformats.org/officeDocument/2006/relationships/hyperlink" Target="https://in.linkedin.com/jobs/payu-jobs" TargetMode="External"/><Relationship Id="rId129" Type="http://schemas.openxmlformats.org/officeDocument/2006/relationships/hyperlink" Target="https://in.linkedin.com/jobs/view/product-manager-at-phonepe-4397787803" TargetMode="External"/><Relationship Id="rId130" Type="http://schemas.openxmlformats.org/officeDocument/2006/relationships/hyperlink" Target="https://www.phonepe.com/careers/job-openings/" TargetMode="External"/><Relationship Id="rId131" Type="http://schemas.openxmlformats.org/officeDocument/2006/relationships/hyperlink" Target="https://job-boards.greenhouse.io/phonepe/jobs/6547928003" TargetMode="External"/><Relationship Id="rId132" Type="http://schemas.openxmlformats.org/officeDocument/2006/relationships/hyperlink" Target="https://www.phonepe.com/careers/job-openings/" TargetMode="External"/><Relationship Id="rId133" Type="http://schemas.openxmlformats.org/officeDocument/2006/relationships/hyperlink" Target="https://www.instahyre.com/job-131077-product-manager-senior-product-manager-at-pine-labs-2-bangalore-noida/" TargetMode="External"/><Relationship Id="rId134" Type="http://schemas.openxmlformats.org/officeDocument/2006/relationships/hyperlink" Target="https://www.pinelabs.com/careers/open-jobs" TargetMode="External"/><Relationship Id="rId135" Type="http://schemas.openxmlformats.org/officeDocument/2006/relationships/hyperlink" Target="https://in.linkedin.com/jobs/view/senior-product-manager-growth-at-razorpay-4416243265" TargetMode="External"/><Relationship Id="rId136" Type="http://schemas.openxmlformats.org/officeDocument/2006/relationships/hyperlink" Target="https://razorpay.com/careers/" TargetMode="External"/><Relationship Id="rId137" Type="http://schemas.openxmlformats.org/officeDocument/2006/relationships/hyperlink" Target="https://in.linkedin.com/jobs/view/product-manager-ii-at-razorpay-4420907605" TargetMode="External"/><Relationship Id="rId138" Type="http://schemas.openxmlformats.org/officeDocument/2006/relationships/hyperlink" Target="https://razorpay.com/careers/" TargetMode="External"/><Relationship Id="rId139" Type="http://schemas.openxmlformats.org/officeDocument/2006/relationships/hyperlink" Target="https://www.instahyre.com/job-110024-product-manager-upi-at-slice-bangalore/" TargetMode="External"/><Relationship Id="rId140" Type="http://schemas.openxmlformats.org/officeDocument/2006/relationships/hyperlink" Target="https://www.linkedin.com/jobs/search/?keywords=slice&amp;location=India" TargetMode="External"/><Relationship Id="rId141" Type="http://schemas.openxmlformats.org/officeDocument/2006/relationships/hyperlink" Target="https://www.instahyre.com/job-322245-product-manager-at-slice-bangalore/" TargetMode="External"/><Relationship Id="rId142" Type="http://schemas.openxmlformats.org/officeDocument/2006/relationships/hyperlink" Target="https://www.linkedin.com/jobs/search/?keywords=slice&amp;location=India" TargetMode="External"/><Relationship Id="rId143" Type="http://schemas.openxmlformats.org/officeDocument/2006/relationships/hyperlink" Target="https://www.jobaaj.com/job/supermoney-product-manager-bengaluru-bangalore-karnataka-2-to-4-years-1280733" TargetMode="External"/><Relationship Id="rId144" Type="http://schemas.openxmlformats.org/officeDocument/2006/relationships/hyperlink" Target="https://in.linkedin.com/company/getsupermoney" TargetMode="External"/><Relationship Id="rId145" Type="http://schemas.openxmlformats.org/officeDocument/2006/relationships/hyperlink" Target="https://www.instahyre.com/job-120279-product-manager-at-uni-cards-2-bangalore/" TargetMode="External"/><Relationship Id="rId146" Type="http://schemas.openxmlformats.org/officeDocument/2006/relationships/hyperlink" Target="https://www.linkedin.com/jobs/search/?keywords=Uni%20Cards&amp;location=India" TargetMode="External"/><Relationship Id="rId147" Type="http://schemas.openxmlformats.org/officeDocument/2006/relationships/hyperlink" Target="https://cutshort.io/job/Product-Manager-II-Bengaluru-Bangalore-Uni-Cards-gCREBX2R" TargetMode="External"/><Relationship Id="rId148" Type="http://schemas.openxmlformats.org/officeDocument/2006/relationships/hyperlink" Target="https://www.linkedin.com/jobs/search/?keywords=Uni%20Cards&amp;location=India" TargetMode="External"/><Relationship Id="rId149" Type="http://schemas.openxmlformats.org/officeDocument/2006/relationships/hyperlink" Target="https://www.instahyre.com/job-307355-business-head-at-zaggle-mumbai/" TargetMode="External"/><Relationship Id="rId150" Type="http://schemas.openxmlformats.org/officeDocument/2006/relationships/hyperlink" Target="https://www.uplers.com/company/zaggle-3962" TargetMode="External"/><Relationship Id="rId151" Type="http://schemas.openxmlformats.org/officeDocument/2006/relationships/hyperlink" Target="https://www.iimjobs.com/j/airtel-payments-bank-product-manager-payments-1269762" TargetMode="External"/><Relationship Id="rId152" Type="http://schemas.openxmlformats.org/officeDocument/2006/relationships/hyperlink" Target="https://www.naukri.com/airtel-payments-bank-jobs-in-gurgaon-gurugram" TargetMode="External"/><Relationship Id="rId153" Type="http://schemas.openxmlformats.org/officeDocument/2006/relationships/hyperlink" Target="https://www.foundit.in/job/product-manager-analytics-background-airtel-payments-bank-gurugram-58673415" TargetMode="External"/><Relationship Id="rId154" Type="http://schemas.openxmlformats.org/officeDocument/2006/relationships/hyperlink" Target="https://www.naukri.com/airtel-payments-bank-jobs-in-gurgaon-gurugram" TargetMode="External"/><Relationship Id="rId155" Type="http://schemas.openxmlformats.org/officeDocument/2006/relationships/hyperlink" Target="https://www.iimjobs.com/j/airtel-payments-bank-product-manager-salary-mfi-1604171" TargetMode="External"/><Relationship Id="rId156" Type="http://schemas.openxmlformats.org/officeDocument/2006/relationships/hyperlink" Target="https://www.naukri.com/airtel-payments-bank-jobs-in-gurgaon-gurugram" TargetMode="External"/><Relationship Id="rId157" Type="http://schemas.openxmlformats.org/officeDocument/2006/relationships/hyperlink" Target="https://www.iimjobs.com/j/axis-bank-product-manager-payments-products-3-12-yrs-863888" TargetMode="External"/><Relationship Id="rId158" Type="http://schemas.openxmlformats.org/officeDocument/2006/relationships/hyperlink" Target="https://www.axisbank.com/careers-new" TargetMode="External"/><Relationship Id="rId159" Type="http://schemas.openxmlformats.org/officeDocument/2006/relationships/hyperlink" Target="https://in.expertini.com/jobs/in/rb-cardsproduct-manager-digital-payments-team-mumbai-axis-bank/" TargetMode="External"/><Relationship Id="rId160" Type="http://schemas.openxmlformats.org/officeDocument/2006/relationships/hyperlink" Target="https://www.axisbank.com/careers-new" TargetMode="External"/><Relationship Id="rId161" Type="http://schemas.openxmlformats.org/officeDocument/2006/relationships/hyperlink" Target="https://www.foundit.in/job/rb-cards-debit-cards-product-manager-axis-bank-mumbai-36445272" TargetMode="External"/><Relationship Id="rId162" Type="http://schemas.openxmlformats.org/officeDocument/2006/relationships/hyperlink" Target="https://www.axisbank.com/careers-new" TargetMode="External"/><Relationship Id="rId163" Type="http://schemas.openxmlformats.org/officeDocument/2006/relationships/hyperlink" Target="https://www.themuse.com/jobs/bankofamerica/upto-director-trade-product-manager-global-payments-solutions-india" TargetMode="External"/><Relationship Id="rId164" Type="http://schemas.openxmlformats.org/officeDocument/2006/relationships/hyperlink" Target="https://www.linkedin.com/jobs/search/?keywords=Bank%20of%20America&amp;location=India" TargetMode="External"/><Relationship Id="rId165" Type="http://schemas.openxmlformats.org/officeDocument/2006/relationships/hyperlink" Target="https://search.jobs.barclays/job/pune/transaction-banking-product-manager-payments-and-foreign-exchange-vp/13015/82655573792" TargetMode="External"/><Relationship Id="rId166" Type="http://schemas.openxmlformats.org/officeDocument/2006/relationships/hyperlink" Target="https://search.jobs.barclays/location/pune-maharashtra-india-jobs/13015/1269750-1264418-1259229/4" TargetMode="External"/><Relationship Id="rId167" Type="http://schemas.openxmlformats.org/officeDocument/2006/relationships/hyperlink" Target="https://search.jobs.barclays/job/pune/barclaycard-payments-product-manager-avp/13015/82461453824" TargetMode="External"/><Relationship Id="rId168" Type="http://schemas.openxmlformats.org/officeDocument/2006/relationships/hyperlink" Target="https://search.jobs.barclays/location/pune-maharashtra-india-jobs/13015/1269750-1264418-1259229/4" TargetMode="External"/><Relationship Id="rId169" Type="http://schemas.openxmlformats.org/officeDocument/2006/relationships/hyperlink" Target="https://www.glassdoor.co.in/Jobs/BNY-Jobs-E78.htm" TargetMode="External"/><Relationship Id="rId170" Type="http://schemas.openxmlformats.org/officeDocument/2006/relationships/hyperlink" Target="https://www.bny.com/corporate/global/en/careers.html/" TargetMode="External"/><Relationship Id="rId171" Type="http://schemas.openxmlformats.org/officeDocument/2006/relationships/hyperlink" Target="https://jobs.citi.com/job/mumbai/services-full-time-analyst-india-2026/287/89151139152" TargetMode="External"/><Relationship Id="rId172" Type="http://schemas.openxmlformats.org/officeDocument/2006/relationships/hyperlink" Target="https://jobs.citi.com/pune" TargetMode="External"/><Relationship Id="rId173" Type="http://schemas.openxmlformats.org/officeDocument/2006/relationships/hyperlink" Target="https://builtin.com/job/product-management/4458908" TargetMode="External"/><Relationship Id="rId174" Type="http://schemas.openxmlformats.org/officeDocument/2006/relationships/hyperlink" Target="https://careers.db.com/explore-the-bank/locations/asia-pacific/pune" TargetMode="External"/><Relationship Id="rId175" Type="http://schemas.openxmlformats.org/officeDocument/2006/relationships/hyperlink" Target="https://www.iimjobs.com/company/fino-payments-bank-careers" TargetMode="External"/><Relationship Id="rId176" Type="http://schemas.openxmlformats.org/officeDocument/2006/relationships/hyperlink" Target="https://www.fino.bank.in/company/careers" TargetMode="External"/><Relationship Id="rId177" Type="http://schemas.openxmlformats.org/officeDocument/2006/relationships/hyperlink" Target="https://getmereferred.com/job-listing/transaction-bankingbengaluruvice-presidentproduct-management-goldman-sachs-bengaluru-8-to-10-years-experience-8565e99d-1089-440f-9a61-ba71584cdb85" TargetMode="External"/><Relationship Id="rId178" Type="http://schemas.openxmlformats.org/officeDocument/2006/relationships/hyperlink" Target="https://higher.gs.com/" TargetMode="External"/><Relationship Id="rId179" Type="http://schemas.openxmlformats.org/officeDocument/2006/relationships/hyperlink" Target="https://www.jobaaj.com/job/goldman-sachs-transaction-banking-division-bengaluru-analyst-product-management-bengaluru-3-to-5-years-31204" TargetMode="External"/><Relationship Id="rId180" Type="http://schemas.openxmlformats.org/officeDocument/2006/relationships/hyperlink" Target="https://higher.gs.com/" TargetMode="External"/><Relationship Id="rId181" Type="http://schemas.openxmlformats.org/officeDocument/2006/relationships/hyperlink" Target="https://higher.gs.com/roles/152951" TargetMode="External"/><Relationship Id="rId182" Type="http://schemas.openxmlformats.org/officeDocument/2006/relationships/hyperlink" Target="https://higher.gs.com/" TargetMode="External"/><Relationship Id="rId183" Type="http://schemas.openxmlformats.org/officeDocument/2006/relationships/hyperlink" Target="https://in.linkedin.com/jobs/hdfc-bank-product-management-jobs" TargetMode="External"/><Relationship Id="rId184" Type="http://schemas.openxmlformats.org/officeDocument/2006/relationships/hyperlink" Target="https://www.hdfcbank.com/personal/about-us/careers" TargetMode="External"/><Relationship Id="rId185" Type="http://schemas.openxmlformats.org/officeDocument/2006/relationships/hyperlink" Target="https://portal.careers.hsbc.com/careers?location=India" TargetMode="External"/><Relationship Id="rId186" Type="http://schemas.openxmlformats.org/officeDocument/2006/relationships/hyperlink" Target="https://portal.careers.hsbc.com/careers?location=India" TargetMode="External"/><Relationship Id="rId187" Type="http://schemas.openxmlformats.org/officeDocument/2006/relationships/hyperlink" Target="https://www.iimjobs.com/j/icici-bank-product-manager-cards-iim-mdi-isb-fms-1-10-yrs-879114" TargetMode="External"/><Relationship Id="rId188" Type="http://schemas.openxmlformats.org/officeDocument/2006/relationships/hyperlink" Target="https://www.linkedin.com/jobs/search/?keywords=ICICI%20Bank&amp;location=India" TargetMode="External"/><Relationship Id="rId189" Type="http://schemas.openxmlformats.org/officeDocument/2006/relationships/hyperlink" Target="https://www.instahyre.com/job-320485-product-manager-at-idfc-first-bank-mumbai/" TargetMode="External"/><Relationship Id="rId190" Type="http://schemas.openxmlformats.org/officeDocument/2006/relationships/hyperlink" Target="https://careers.idfcfirstbank.com/in/en/c/product-program-management-strategy-jobs" TargetMode="External"/><Relationship Id="rId191" Type="http://schemas.openxmlformats.org/officeDocument/2006/relationships/hyperlink" Target="https://www.ziprecruiter.in/jobs/581532228-senior-product-manager-credit-cards-at-idfc-first-bank" TargetMode="External"/><Relationship Id="rId192" Type="http://schemas.openxmlformats.org/officeDocument/2006/relationships/hyperlink" Target="https://careers.idfcfirstbank.com/in/en/c/product-program-management-strategy-jobs" TargetMode="External"/><Relationship Id="rId193" Type="http://schemas.openxmlformats.org/officeDocument/2006/relationships/hyperlink" Target="https://iimjobs.com/j/indusind-bank-product-manager-digital-payments-4-8-yrs-1226962.html" TargetMode="External"/><Relationship Id="rId194" Type="http://schemas.openxmlformats.org/officeDocument/2006/relationships/hyperlink" Target="https://www.linkedin.com/jobs/search/?keywords=IndusInd%20Bank&amp;location=India" TargetMode="External"/><Relationship Id="rId195" Type="http://schemas.openxmlformats.org/officeDocument/2006/relationships/hyperlink" Target="https://www.iimjobs.com/j/indusind-bank-product-manager-commercial-cards-1006265" TargetMode="External"/><Relationship Id="rId196" Type="http://schemas.openxmlformats.org/officeDocument/2006/relationships/hyperlink" Target="https://www.linkedin.com/jobs/search/?keywords=IndusInd%20Bank&amp;location=India" TargetMode="External"/><Relationship Id="rId197" Type="http://schemas.openxmlformats.org/officeDocument/2006/relationships/hyperlink" Target="https://www.jobaaj.com/job/fin-financial-services-product-manager-upi-acquisition-jio-payments-bank-navi-mumbai-maharashtra-0-to-1-years-777846" TargetMode="External"/><Relationship Id="rId198" Type="http://schemas.openxmlformats.org/officeDocument/2006/relationships/hyperlink" Target="https://in.linkedin.com/company/jiofinser/jobs" TargetMode="External"/><Relationship Id="rId199" Type="http://schemas.openxmlformats.org/officeDocument/2006/relationships/hyperlink" Target="https://www.themuse.com/jobs/jpmorganchase/india-trade-product-manager-payments-executive-director" TargetMode="External"/><Relationship Id="rId200" Type="http://schemas.openxmlformats.org/officeDocument/2006/relationships/hyperlink" Target="https://in.linkedin.com/jobs/jpmorgan-chase-jobs" TargetMode="External"/><Relationship Id="rId201" Type="http://schemas.openxmlformats.org/officeDocument/2006/relationships/hyperlink" Target="https://builtin.com/job/product-manager-vice-president-payments/7761270" TargetMode="External"/><Relationship Id="rId202" Type="http://schemas.openxmlformats.org/officeDocument/2006/relationships/hyperlink" Target="https://in.linkedin.com/jobs/jpmorgan-chase-jobs" TargetMode="External"/><Relationship Id="rId203" Type="http://schemas.openxmlformats.org/officeDocument/2006/relationships/hyperlink" Target="https://www.livelaw.in/job-updates/product-manager-vacancy-at-kotak-mahindra-bank-limited-536900" TargetMode="External"/><Relationship Id="rId204" Type="http://schemas.openxmlformats.org/officeDocument/2006/relationships/hyperlink" Target="https://www.linkedin.com/company/kotak-mahindra-bank" TargetMode="External"/><Relationship Id="rId205" Type="http://schemas.openxmlformats.org/officeDocument/2006/relationships/hyperlink" Target="https://jobs.natwestgroup.com/search/product-and-proposition/jobs/in/country/india" TargetMode="External"/><Relationship Id="rId206" Type="http://schemas.openxmlformats.org/officeDocument/2006/relationships/hyperlink" Target="https://jobs.natwestgroup.com/pages/india" TargetMode="External"/><Relationship Id="rId207" Type="http://schemas.openxmlformats.org/officeDocument/2006/relationships/hyperlink" Target="https://www.iimjobs.com/j/rbl-bank-campaign-management-credit-cards-1349125" TargetMode="External"/><Relationship Id="rId208" Type="http://schemas.openxmlformats.org/officeDocument/2006/relationships/hyperlink" Target="https://www.rbl.bank.in/careers" TargetMode="External"/><Relationship Id="rId209" Type="http://schemas.openxmlformats.org/officeDocument/2006/relationships/hyperlink" Target="https://in.linkedin.com/jobs/view/product-manager-gurgaon-at-sbi-cards-and-payment-services-private-limited-202611397" TargetMode="External"/><Relationship Id="rId210" Type="http://schemas.openxmlformats.org/officeDocument/2006/relationships/hyperlink" Target="https://in.linkedin.com/jobs/sbi-card-jobs-gurugram" TargetMode="External"/><Relationship Id="rId211" Type="http://schemas.openxmlformats.org/officeDocument/2006/relationships/hyperlink" Target="https://www.sc.com/en/global-careers/experienced-hire/spotlight-career-opportunities/careers-in-india/" TargetMode="External"/><Relationship Id="rId212" Type="http://schemas.openxmlformats.org/officeDocument/2006/relationships/hyperlink" Target="https://in.linkedin.com/jobs/standard-chartered-bank-jobs-bengaluru" TargetMode="External"/><Relationship Id="rId213" Type="http://schemas.openxmlformats.org/officeDocument/2006/relationships/hyperlink" Target="https://builtin.com/job/sr-analyst-data-analytics-and-insights-performance-marketing-l08/7654082" TargetMode="External"/><Relationship Id="rId214" Type="http://schemas.openxmlformats.org/officeDocument/2006/relationships/hyperlink" Target="https://www.linkedin.com/jobs/search/?keywords=Synchrony&amp;location=India" TargetMode="External"/><Relationship Id="rId215" Type="http://schemas.openxmlformats.org/officeDocument/2006/relationships/hyperlink" Target="https://www.wellsfargojobs.com/en/jobs/r-539367/senior-digital-product-manager/" TargetMode="External"/><Relationship Id="rId216" Type="http://schemas.openxmlformats.org/officeDocument/2006/relationships/hyperlink" Target="https://wf.wd1.myworkdayjobs.com/WellsFargoJobs" TargetMode="External"/><Relationship Id="rId217" Type="http://schemas.openxmlformats.org/officeDocument/2006/relationships/hyperlink" Target="https://www.iimjobs.com/yes-bank-careers" TargetMode="External"/><Relationship Id="rId218" Type="http://schemas.openxmlformats.org/officeDocument/2006/relationships/hyperlink" Target="https://in.linkedin.com/jobs/yes-bank-jobs-mumbai-metropolitan-region" TargetMode="External"/><Relationship Id="rId219" Type="http://schemas.openxmlformats.org/officeDocument/2006/relationships/hyperlink" Target="https://careers.americanexpress.com/en/sites/CX_1/job/26009305/" TargetMode="External"/><Relationship Id="rId220" Type="http://schemas.openxmlformats.org/officeDocument/2006/relationships/hyperlink" Target="https://jobs.americanexpress.com/india/jobs" TargetMode="External"/><Relationship Id="rId221" Type="http://schemas.openxmlformats.org/officeDocument/2006/relationships/hyperlink" Target="https://www.jobaaj.com/job/american-express-product-manager-digital-payments-gurugram-3-to-5-years-709318" TargetMode="External"/><Relationship Id="rId222" Type="http://schemas.openxmlformats.org/officeDocument/2006/relationships/hyperlink" Target="https://jobs.americanexpress.com/india/jobs" TargetMode="External"/><Relationship Id="rId223" Type="http://schemas.openxmlformats.org/officeDocument/2006/relationships/hyperlink" Target="https://careers.mastercard.com/us/en/job/R-273100/Managing-Consultant-Advisors-Consulting-Services-Strategy-Transformation" TargetMode="External"/><Relationship Id="rId224" Type="http://schemas.openxmlformats.org/officeDocument/2006/relationships/hyperlink" Target="https://careers.mastercard.com/us/en/c/consulting-jobs" TargetMode="External"/><Relationship Id="rId225" Type="http://schemas.openxmlformats.org/officeDocument/2006/relationships/hyperlink" Target="https://careers.mastercard.com/us/en/job/R-256853/Managing-Consultant-Advisors-Consulting-Services-Performance-Analytics" TargetMode="External"/><Relationship Id="rId226" Type="http://schemas.openxmlformats.org/officeDocument/2006/relationships/hyperlink" Target="https://careers.mastercard.com/us/en/c/consulting-jobs" TargetMode="External"/><Relationship Id="rId227" Type="http://schemas.openxmlformats.org/officeDocument/2006/relationships/hyperlink" Target="https://mastercard.wd1.myworkdayjobs.com/en-US/CorporateCareers/job/Gurgaon-India/Consultant--Advisors---Consulting-Services--Performance-Analytics_R-234535" TargetMode="External"/><Relationship Id="rId228" Type="http://schemas.openxmlformats.org/officeDocument/2006/relationships/hyperlink" Target="https://careers.mastercard.com/us/en/c/consulting-jobs" TargetMode="External"/><Relationship Id="rId229" Type="http://schemas.openxmlformats.org/officeDocument/2006/relationships/hyperlink" Target="https://www.jobaaj.com/job/mastercard-product-manager-digital-payments-gurugram-1-to-2-years-828231" TargetMode="External"/><Relationship Id="rId230" Type="http://schemas.openxmlformats.org/officeDocument/2006/relationships/hyperlink" Target="https://careers.mastercard.com/us/en/gurugram-india" TargetMode="External"/><Relationship Id="rId231" Type="http://schemas.openxmlformats.org/officeDocument/2006/relationships/hyperlink" Target="https://builtin.com/job/associate-managing-consultant-2/7641479" TargetMode="External"/><Relationship Id="rId232" Type="http://schemas.openxmlformats.org/officeDocument/2006/relationships/hyperlink" Target="https://careers.mastercard.com/us/en/c/consulting-jobs" TargetMode="External"/><Relationship Id="rId233" Type="http://schemas.openxmlformats.org/officeDocument/2006/relationships/hyperlink" Target="https://www.themuse.com/jobs/mastercard/managing-consultant-analytics" TargetMode="External"/><Relationship Id="rId234" Type="http://schemas.openxmlformats.org/officeDocument/2006/relationships/hyperlink" Target="https://careers.mastercard.com/us/en/c/consulting-jobs" TargetMode="External"/><Relationship Id="rId235" Type="http://schemas.openxmlformats.org/officeDocument/2006/relationships/hyperlink" Target="https://www.npci.org.in/work-with-us/current-openings" TargetMode="External"/><Relationship Id="rId236" Type="http://schemas.openxmlformats.org/officeDocument/2006/relationships/hyperlink" Target="https://www.npci.org.in/work-with-us/current-openings" TargetMode="External"/><Relationship Id="rId237" Type="http://schemas.openxmlformats.org/officeDocument/2006/relationships/hyperlink" Target="https://www.bharat-connect.com/careers/apply/" TargetMode="External"/><Relationship Id="rId238" Type="http://schemas.openxmlformats.org/officeDocument/2006/relationships/hyperlink" Target="https://in.linkedin.com/company/bharat-billpay" TargetMode="External"/><Relationship Id="rId239" Type="http://schemas.openxmlformats.org/officeDocument/2006/relationships/hyperlink" Target="https://visa.wd5.myworkdayjobs.com/Visa/job/IN---Bengaluru-India/Product-Manager_REF084709W" TargetMode="External"/><Relationship Id="rId240" Type="http://schemas.openxmlformats.org/officeDocument/2006/relationships/hyperlink" Target="https://in.linkedin.com/jobs/visa-inc-jobs" TargetMode="External"/><Relationship Id="rId241" Type="http://schemas.openxmlformats.org/officeDocument/2006/relationships/hyperlink" Target="https://www.themuse.com/jobs/visa/product-manager-payments-f864a3" TargetMode="External"/><Relationship Id="rId242" Type="http://schemas.openxmlformats.org/officeDocument/2006/relationships/hyperlink" Target="https://in.linkedin.com/jobs/visa-inc-jobs" TargetMode="External"/><Relationship Id="rId243" Type="http://schemas.openxmlformats.org/officeDocument/2006/relationships/hyperlink" Target="https://www.foundit.in/job/data-scientist-visa-consulting-analytics-visa-bengaluru-bangalore-52576776" TargetMode="External"/><Relationship Id="rId244" Type="http://schemas.openxmlformats.org/officeDocument/2006/relationships/hyperlink" Target="https://in.linkedin.com/jobs/visa-inc-jobs" TargetMode="External"/><Relationship Id="rId245" Type="http://schemas.openxmlformats.org/officeDocument/2006/relationships/hyperlink" Target="https://www.glassdoor.co.in/Jobs/Airwallex-Jobs-E1831889.htm" TargetMode="External"/><Relationship Id="rId246" Type="http://schemas.openxmlformats.org/officeDocument/2006/relationships/hyperlink" Target="https://careers.airwallex.com/jobs/" TargetMode="External"/><Relationship Id="rId247" Type="http://schemas.openxmlformats.org/officeDocument/2006/relationships/hyperlink" Target="https://www.instahyre.com/job-197944-principal-product-manager-at-nium-bangalore-chennai-mumbai/" TargetMode="External"/><Relationship Id="rId248" Type="http://schemas.openxmlformats.org/officeDocument/2006/relationships/hyperlink" Target="https://www.nium.com/careers" TargetMode="External"/><Relationship Id="rId249" Type="http://schemas.openxmlformats.org/officeDocument/2006/relationships/hyperlink" Target="https://www.instahyre.com/job-197929-product-manager-core-at-nium-bangalore-chennai-mumbai/" TargetMode="External"/><Relationship Id="rId250" Type="http://schemas.openxmlformats.org/officeDocument/2006/relationships/hyperlink" Target="https://www.nium.com/careers" TargetMode="External"/><Relationship Id="rId251" Type="http://schemas.openxmlformats.org/officeDocument/2006/relationships/hyperlink" Target="https://in.linkedin.com/jobs/view/expansion-manager-&#8212;-stablecoins-at-nium-4432240767" TargetMode="External"/><Relationship Id="rId252" Type="http://schemas.openxmlformats.org/officeDocument/2006/relationships/hyperlink" Target="https://www.nium.com/careers" TargetMode="External"/><Relationship Id="rId253" Type="http://schemas.openxmlformats.org/officeDocument/2006/relationships/hyperlink" Target="https://startup.jobs/program-growth-manager-payoneer-2-8053174" TargetMode="External"/><Relationship Id="rId254" Type="http://schemas.openxmlformats.org/officeDocument/2006/relationships/hyperlink" Target="https://careers.payoneer.com/" TargetMode="External"/><Relationship Id="rId255" Type="http://schemas.openxmlformats.org/officeDocument/2006/relationships/hyperlink" Target="https://in.linkedin.com/jobs/view/senior-product-manager-working-capital-at-payoneer-4455321860" TargetMode="External"/><Relationship Id="rId256" Type="http://schemas.openxmlformats.org/officeDocument/2006/relationships/hyperlink" Target="https://careers.payoneer.com/" TargetMode="External"/><Relationship Id="rId257" Type="http://schemas.openxmlformats.org/officeDocument/2006/relationships/hyperlink" Target="https://in.linkedin.com/jobs/view/product-manager-at-payoneer-4367990869" TargetMode="External"/><Relationship Id="rId258" Type="http://schemas.openxmlformats.org/officeDocument/2006/relationships/hyperlink" Target="https://careers.payoneer.com/" TargetMode="External"/><Relationship Id="rId259" Type="http://schemas.openxmlformats.org/officeDocument/2006/relationships/hyperlink" Target="https://tazapay.freshteam.com/jobs" TargetMode="External"/><Relationship Id="rId260" Type="http://schemas.openxmlformats.org/officeDocument/2006/relationships/hyperlink" Target="https://tazapay.com/careers" TargetMode="External"/><Relationship Id="rId261" Type="http://schemas.openxmlformats.org/officeDocument/2006/relationships/hyperlink" Target="https://careers.westernunion.com/job-details/13699957/manager-product-delivery-pune-in/" TargetMode="External"/><Relationship Id="rId262" Type="http://schemas.openxmlformats.org/officeDocument/2006/relationships/hyperlink" Target="https://careers.westernunion.com/india/" TargetMode="External"/><Relationship Id="rId263" Type="http://schemas.openxmlformats.org/officeDocument/2006/relationships/hyperlink" Target="https://builtin.com/job/asst-mgr-product-management/3589704" TargetMode="External"/><Relationship Id="rId264" Type="http://schemas.openxmlformats.org/officeDocument/2006/relationships/hyperlink" Target="https://careers.westernunion.com/india/" TargetMode="External"/><Relationship Id="rId265" Type="http://schemas.openxmlformats.org/officeDocument/2006/relationships/hyperlink" Target="https://wise.jobs/job/product-lead-india-in-hyderabad-jid-1795" TargetMode="External"/><Relationship Id="rId266" Type="http://schemas.openxmlformats.org/officeDocument/2006/relationships/hyperlink" Target="https://wise.jobs/posts/tags/hyderabad" TargetMode="External"/><Relationship Id="rId267" Type="http://schemas.openxmlformats.org/officeDocument/2006/relationships/hyperlink" Target="https://wise.jobs/job/product-manager-apac-onboarding-and-kyc-in-hyderabad-jid-2665" TargetMode="External"/><Relationship Id="rId268" Type="http://schemas.openxmlformats.org/officeDocument/2006/relationships/hyperlink" Target="https://wise.jobs/posts/tags/hyderabad" TargetMode="External"/><Relationship Id="rId269" Type="http://schemas.openxmlformats.org/officeDocument/2006/relationships/hyperlink" Target="https://careers.adyen.com/locations/bengaluru" TargetMode="External"/><Relationship Id="rId270" Type="http://schemas.openxmlformats.org/officeDocument/2006/relationships/hyperlink" Target="https://careers.adyen.com/vacancies" TargetMode="External"/><Relationship Id="rId271" Type="http://schemas.openxmlformats.org/officeDocument/2006/relationships/hyperlink" Target="https://careers.adyen.com/locations/mumbai" TargetMode="External"/><Relationship Id="rId272" Type="http://schemas.openxmlformats.org/officeDocument/2006/relationships/hyperlink" Target="https://careers.adyen.com/vacancies" TargetMode="External"/><Relationship Id="rId273" Type="http://schemas.openxmlformats.org/officeDocument/2006/relationships/hyperlink" Target="https://www.amazon.jobs/en/jobs/10439650/product-manager-amazon-pay-core-payments-acceptance" TargetMode="External"/><Relationship Id="rId274" Type="http://schemas.openxmlformats.org/officeDocument/2006/relationships/hyperlink" Target="https://www.amazon.jobs/en/search?base_query=amazon+pay&amp;loc_query=India" TargetMode="External"/><Relationship Id="rId275" Type="http://schemas.openxmlformats.org/officeDocument/2006/relationships/hyperlink" Target="https://www.amazon.jobs/en/jobs/3176660/product-manager-in-payments" TargetMode="External"/><Relationship Id="rId276" Type="http://schemas.openxmlformats.org/officeDocument/2006/relationships/hyperlink" Target="https://www.amazon.jobs/en/search?base_query=amazon+pay&amp;loc_query=India" TargetMode="External"/><Relationship Id="rId277" Type="http://schemas.openxmlformats.org/officeDocument/2006/relationships/hyperlink" Target="https://www.bayt.com/en/india/jobs/program-manager-bill-payments-amazon-pay-74650059/" TargetMode="External"/><Relationship Id="rId278" Type="http://schemas.openxmlformats.org/officeDocument/2006/relationships/hyperlink" Target="https://www.amazon.jobs/en/search?base_query=amazon+pay&amp;loc_query=India" TargetMode="External"/><Relationship Id="rId279" Type="http://schemas.openxmlformats.org/officeDocument/2006/relationships/hyperlink" Target="https://www.google.com/about/careers/applications/jobs/results/130049272241365702-strategic-partnerships-development-manager/" TargetMode="External"/><Relationship Id="rId280" Type="http://schemas.openxmlformats.org/officeDocument/2006/relationships/hyperlink" Target="https://www.google.com/about/careers/applications/jobs/results/?location=India&amp;q=Google%20Pay" TargetMode="External"/><Relationship Id="rId281" Type="http://schemas.openxmlformats.org/officeDocument/2006/relationships/hyperlink" Target="https://www.google.com/about/careers/applications/jobs/results/128261238082675398-manager-payments-product-operations-and-strategy-google-pay/" TargetMode="External"/><Relationship Id="rId282" Type="http://schemas.openxmlformats.org/officeDocument/2006/relationships/hyperlink" Target="https://www.google.com/about/careers/applications/jobs/results/?location=India&amp;q=Google%20Pay" TargetMode="External"/><Relationship Id="rId283" Type="http://schemas.openxmlformats.org/officeDocument/2006/relationships/hyperlink" Target="https://www.google.com/about/careers/applications/jobs/results/85098134622872262-senior-product-manager/" TargetMode="External"/><Relationship Id="rId284" Type="http://schemas.openxmlformats.org/officeDocument/2006/relationships/hyperlink" Target="https://www.google.com/about/careers/applications/jobs/results/?location=India&amp;q=Google%20Pay" TargetMode="External"/><Relationship Id="rId285" Type="http://schemas.openxmlformats.org/officeDocument/2006/relationships/hyperlink" Target="https://builtin.com/job/lead-product-manager/7204079" TargetMode="External"/><Relationship Id="rId286" Type="http://schemas.openxmlformats.org/officeDocument/2006/relationships/hyperlink" Target="https://careers.pypl.com/categories/product-management/" TargetMode="External"/><Relationship Id="rId287" Type="http://schemas.openxmlformats.org/officeDocument/2006/relationships/hyperlink" Target="https://careers.pypl.com/categories/product-management/" TargetMode="External"/><Relationship Id="rId288" Type="http://schemas.openxmlformats.org/officeDocument/2006/relationships/hyperlink" Target="https://careers.pypl.com/categories/product-management/" TargetMode="External"/><Relationship Id="rId289" Type="http://schemas.openxmlformats.org/officeDocument/2006/relationships/hyperlink" Target="https://stripe.com/careers/listing/product-manager-e-invoicing/8041655" TargetMode="External"/><Relationship Id="rId290" Type="http://schemas.openxmlformats.org/officeDocument/2006/relationships/hyperlink" Target="https://www.bayt.com/en/india/jobs/stripe-jobs-in-bengaluru/" TargetMode="External"/><Relationship Id="rId291" Type="http://schemas.openxmlformats.org/officeDocument/2006/relationships/hyperlink" Target="https://stripe.com/careers/listing/product-strategy-operations-apac/8081423" TargetMode="External"/><Relationship Id="rId292" Type="http://schemas.openxmlformats.org/officeDocument/2006/relationships/hyperlink" Target="https://www.bayt.com/en/india/jobs/stripe-jobs-in-bengaluru/" TargetMode="External"/><Relationship Id="rId293" Type="http://schemas.openxmlformats.org/officeDocument/2006/relationships/hyperlink" Target="https://in.linkedin.com/jobs/aci-worldwide-jobs" TargetMode="External"/><Relationship Id="rId294" Type="http://schemas.openxmlformats.org/officeDocument/2006/relationships/hyperlink" Target="https://www.aciworldwide.com/about-aci/careers" TargetMode="External"/><Relationship Id="rId295" Type="http://schemas.openxmlformats.org/officeDocument/2006/relationships/hyperlink" Target="https://in.expertini.com/jobs/in/infosys-finacle-payments-product-management-bengaluru-infosys-finacle/" TargetMode="External"/><Relationship Id="rId296" Type="http://schemas.openxmlformats.org/officeDocument/2006/relationships/hyperlink" Target="https://www.edgeverve.com/careers/" TargetMode="External"/><Relationship Id="rId297" Type="http://schemas.openxmlformats.org/officeDocument/2006/relationships/hyperlink" Target="https://www.uplers.com/company/fss-5393" TargetMode="External"/><Relationship Id="rId298" Type="http://schemas.openxmlformats.org/officeDocument/2006/relationships/hyperlink" Target="https://www.uplers.com/company/fss-5393" TargetMode="External"/><Relationship Id="rId299" Type="http://schemas.openxmlformats.org/officeDocument/2006/relationships/hyperlink" Target="https://www.glassdoor.com/Jobs/Finastra-Bangalore-Jobs-EI_IE1689268.0,8_IL.9,18_IM1091.htm" TargetMode="External"/><Relationship Id="rId300" Type="http://schemas.openxmlformats.org/officeDocument/2006/relationships/hyperlink" Target="https://careers.finastra.com/jobs" TargetMode="External"/><Relationship Id="rId301" Type="http://schemas.openxmlformats.org/officeDocument/2006/relationships/hyperlink" Target="https://finzly.com/careers/product-manager/chennai-pune-india/" TargetMode="External"/><Relationship Id="rId302" Type="http://schemas.openxmlformats.org/officeDocument/2006/relationships/hyperlink" Target="https://www.linkedin.com/jobs/search/?keywords=Finzly&amp;location=India" TargetMode="External"/><Relationship Id="rId303" Type="http://schemas.openxmlformats.org/officeDocument/2006/relationships/hyperlink" Target="https://in.linkedin.com/jobs/fis-global-jobs" TargetMode="External"/><Relationship Id="rId304" Type="http://schemas.openxmlformats.org/officeDocument/2006/relationships/hyperlink" Target="https://careers.fisglobal.com/us/en" TargetMode="External"/><Relationship Id="rId305" Type="http://schemas.openxmlformats.org/officeDocument/2006/relationships/hyperlink" Target="https://builtin.com/job/technology-business-consultant-specialist-cards-and-payments-domain/4056670" TargetMode="External"/><Relationship Id="rId306" Type="http://schemas.openxmlformats.org/officeDocument/2006/relationships/hyperlink" Target="https://careers.fisglobal.com/us/en" TargetMode="External"/><Relationship Id="rId307" Type="http://schemas.openxmlformats.org/officeDocument/2006/relationships/hyperlink" Target="https://careers.fiserv.com/us/en/job/FFFYJUSR10391581EXTERNALENUS/B2B-Product-Manager-Senior-Product-Manager" TargetMode="External"/><Relationship Id="rId308" Type="http://schemas.openxmlformats.org/officeDocument/2006/relationships/hyperlink" Target="https://careers.fiserv.com/us/en" TargetMode="External"/><Relationship Id="rId309" Type="http://schemas.openxmlformats.org/officeDocument/2006/relationships/hyperlink" Target="https://workopia.io/jobs/a203a50af0c0bbdec79f11bc6c643aed" TargetMode="External"/><Relationship Id="rId310" Type="http://schemas.openxmlformats.org/officeDocument/2006/relationships/hyperlink" Target="https://www.uplers.com/company/hitachi-payment-services-pvt-ltd-12393" TargetMode="External"/><Relationship Id="rId311" Type="http://schemas.openxmlformats.org/officeDocument/2006/relationships/hyperlink" Target="https://in.linkedin.com/jobs/intellect-design-arena-ltd-jobs" TargetMode="External"/><Relationship Id="rId312" Type="http://schemas.openxmlformats.org/officeDocument/2006/relationships/hyperlink" Target="https://www.intellectdesign.com/" TargetMode="External"/><Relationship Id="rId313" Type="http://schemas.openxmlformats.org/officeDocument/2006/relationships/hyperlink" Target="https://in.linkedin.com/jobs/temenos-jobs" TargetMode="External"/><Relationship Id="rId314" Type="http://schemas.openxmlformats.org/officeDocument/2006/relationships/hyperlink" Target="https://temenos.wd103.myworkdayjobs.com/Temenoscareers" TargetMode="External"/><Relationship Id="rId315" Type="http://schemas.openxmlformats.org/officeDocument/2006/relationships/hyperlink" Target="https://www.ziprecruiter.in/jobs/538586594-product-manager-at-worldline-global-services" TargetMode="External"/><Relationship Id="rId316" Type="http://schemas.openxmlformats.org/officeDocument/2006/relationships/hyperlink" Target="https://worldline.com/en-in/home/top-navigation/career" TargetMode="External"/><Relationship Id="rId317" Type="http://schemas.openxmlformats.org/officeDocument/2006/relationships/hyperlink" Target="https://jobs.lever.co/zeta/8623c195-f912-4d87-952f-7114cd258413" TargetMode="External"/><Relationship Id="rId318" Type="http://schemas.openxmlformats.org/officeDocument/2006/relationships/hyperlink" Target="https://jobs.lever.co/zeta" TargetMode="External"/><Relationship Id="rId319" Type="http://schemas.openxmlformats.org/officeDocument/2006/relationships/hyperlink" Target="https://startup.jobs/associate-product-manager-i-ii-tachyon-zeta-1818400" TargetMode="External"/><Relationship Id="rId320" Type="http://schemas.openxmlformats.org/officeDocument/2006/relationships/hyperlink" Target="https://jobs.lever.co/zeta" TargetMode="External"/><Relationship Id="rId32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linkedin.com/jobs/search/?keywords=payments%20product%20manager&amp;location=India" TargetMode="External"/><Relationship Id="rId2" Type="http://schemas.openxmlformats.org/officeDocument/2006/relationships/hyperlink" Target="https://www.naukri.com/payments-product-manager-jobs" TargetMode="External"/><Relationship Id="rId3" Type="http://schemas.openxmlformats.org/officeDocument/2006/relationships/hyperlink" Target="https://in.indeed.com/jobs?q=payments+product+manager&amp;l=India" TargetMode="External"/><Relationship Id="rId4" Type="http://schemas.openxmlformats.org/officeDocument/2006/relationships/hyperlink" Target="https://www.linkedin.com/jobs/search/?keywords=payments%20strategy&amp;location=India" TargetMode="External"/><Relationship Id="rId5" Type="http://schemas.openxmlformats.org/officeDocument/2006/relationships/hyperlink" Target="https://www.naukri.com/payments-strategy-jobs" TargetMode="External"/><Relationship Id="rId6" Type="http://schemas.openxmlformats.org/officeDocument/2006/relationships/hyperlink" Target="https://in.indeed.com/jobs?q=payments+strategy&amp;l=India" TargetMode="External"/><Relationship Id="rId7" Type="http://schemas.openxmlformats.org/officeDocument/2006/relationships/hyperlink" Target="https://www.linkedin.com/jobs/search/?keywords=financial%20services%20consultant&amp;location=India" TargetMode="External"/><Relationship Id="rId8" Type="http://schemas.openxmlformats.org/officeDocument/2006/relationships/hyperlink" Target="https://www.naukri.com/financial-services-consultant-jobs" TargetMode="External"/><Relationship Id="rId9" Type="http://schemas.openxmlformats.org/officeDocument/2006/relationships/hyperlink" Target="https://in.indeed.com/jobs?q=financial+services+consultant&amp;l=India" TargetMode="External"/><Relationship Id="rId10" Type="http://schemas.openxmlformats.org/officeDocument/2006/relationships/hyperlink" Target="https://www.linkedin.com/jobs/search/?keywords=cards%20product%20manager&amp;location=India" TargetMode="External"/><Relationship Id="rId11" Type="http://schemas.openxmlformats.org/officeDocument/2006/relationships/hyperlink" Target="https://www.naukri.com/cards-product-manager-jobs" TargetMode="External"/><Relationship Id="rId12" Type="http://schemas.openxmlformats.org/officeDocument/2006/relationships/hyperlink" Target="https://in.indeed.com/jobs?q=cards+product+manager&amp;l=India" TargetMode="External"/><Relationship Id="rId13" Type="http://schemas.openxmlformats.org/officeDocument/2006/relationships/hyperlink" Target="https://www.linkedin.com/jobs/search/?keywords=UPI%20product%20manager&amp;location=India" TargetMode="External"/><Relationship Id="rId14" Type="http://schemas.openxmlformats.org/officeDocument/2006/relationships/hyperlink" Target="https://www.naukri.com/upi-product-manager-jobs" TargetMode="External"/><Relationship Id="rId15" Type="http://schemas.openxmlformats.org/officeDocument/2006/relationships/hyperlink" Target="https://in.indeed.com/jobs?q=UPI+product+manager&amp;l=India" TargetMode="External"/><Relationship Id="rId16" Type="http://schemas.openxmlformats.org/officeDocument/2006/relationships/hyperlink" Target="https://www.linkedin.com/jobs/search/?keywords=cross%20border%20payments&amp;location=India" TargetMode="External"/><Relationship Id="rId17" Type="http://schemas.openxmlformats.org/officeDocument/2006/relationships/hyperlink" Target="https://www.naukri.com/cross-border-payments-jobs" TargetMode="External"/><Relationship Id="rId18" Type="http://schemas.openxmlformats.org/officeDocument/2006/relationships/hyperlink" Target="https://in.indeed.com/jobs?q=cross+border+payments&amp;l=India" TargetMode="External"/><Relationship Id="rId19" Type="http://schemas.openxmlformats.org/officeDocument/2006/relationships/hyperlink" Target="https://www.linkedin.com/jobs/search/?keywords=pricing%20strategy%20financial%20services&amp;location=India" TargetMode="External"/><Relationship Id="rId20" Type="http://schemas.openxmlformats.org/officeDocument/2006/relationships/hyperlink" Target="https://www.naukri.com/pricing-strategy-financial-services-jobs" TargetMode="External"/><Relationship Id="rId21" Type="http://schemas.openxmlformats.org/officeDocument/2006/relationships/hyperlink" Target="https://in.indeed.com/jobs?q=pricing+strategy+financial+services&amp;l=India" TargetMode="External"/><Relationship Id="rId22" Type="http://schemas.openxmlformats.org/officeDocument/2006/relationships/hyperlink" Target="https://www.linkedin.com/jobs/search/?keywords=growth%20manager%20fintech&amp;location=India" TargetMode="External"/><Relationship Id="rId23" Type="http://schemas.openxmlformats.org/officeDocument/2006/relationships/hyperlink" Target="https://www.naukri.com/growth-manager-fintech-jobs" TargetMode="External"/><Relationship Id="rId24" Type="http://schemas.openxmlformats.org/officeDocument/2006/relationships/hyperlink" Target="https://in.indeed.com/jobs?q=growth+manager+fintech&amp;l=India" TargetMode="External"/><Relationship Id="rId25" Type="http://schemas.openxmlformats.org/officeDocument/2006/relationships/hyperlink" Target="https://www.linkedin.com/jobs/search/?keywords=business%20consultant%20payments&amp;location=India" TargetMode="External"/><Relationship Id="rId26" Type="http://schemas.openxmlformats.org/officeDocument/2006/relationships/hyperlink" Target="https://www.naukri.com/business-consultant-payments-jobs" TargetMode="External"/><Relationship Id="rId27" Type="http://schemas.openxmlformats.org/officeDocument/2006/relationships/hyperlink" Target="https://in.indeed.com/jobs?q=business+consultant+payments&amp;l=India" TargetMode="External"/><Relationship Id="rId28" Type="http://schemas.openxmlformats.org/officeDocument/2006/relationships/hyperlink" Target="https://www.linkedin.com/jobs/search/?keywords=go%20to%20market%20fintech&amp;location=India" TargetMode="External"/><Relationship Id="rId29" Type="http://schemas.openxmlformats.org/officeDocument/2006/relationships/hyperlink" Target="https://www.naukri.com/go-to-market-fintech-jobs" TargetMode="External"/><Relationship Id="rId30" Type="http://schemas.openxmlformats.org/officeDocument/2006/relationships/hyperlink" Target="https://in.indeed.com/jobs?q=go+to+market+fintech&amp;l=India" TargetMode="External"/><Relationship Id="rId31" Type="http://schemas.openxmlformats.org/officeDocument/2006/relationships/hyperlink" Target="https://www.linkedin.com/jobs/search/?keywords=merchant%20acquiring&amp;location=India" TargetMode="External"/><Relationship Id="rId32" Type="http://schemas.openxmlformats.org/officeDocument/2006/relationships/hyperlink" Target="https://www.naukri.com/merchant-acquiring-jobs" TargetMode="External"/><Relationship Id="rId33" Type="http://schemas.openxmlformats.org/officeDocument/2006/relationships/hyperlink" Target="https://in.indeed.com/jobs?q=merchant+acquiring&amp;l=India" TargetMode="External"/><Relationship Id="rId34" Type="http://schemas.openxmlformats.org/officeDocument/2006/relationships/hyperlink" Target="https://www.linkedin.com/jobs/search/?keywords=transaction%20banking%20product%20manager&amp;location=India" TargetMode="External"/><Relationship Id="rId35" Type="http://schemas.openxmlformats.org/officeDocument/2006/relationships/hyperlink" Target="https://www.naukri.com/transaction-banking-product-manager-jobs" TargetMode="External"/><Relationship Id="rId36" Type="http://schemas.openxmlformats.org/officeDocument/2006/relationships/hyperlink" Target="https://in.indeed.com/jobs?q=transaction+banking+product+manager&amp;l=Indi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  <col collapsed="false" customWidth="true" hidden="false" outlineLevel="0" max="6" min="4" style="0" width="30"/>
  </cols>
  <sheetData>
    <row r="1" customFormat="false" ht="17.35" hidden="false" customHeight="false" outlineLevel="0" collapsed="false">
      <c r="A1" s="1" t="s">
        <v>0</v>
      </c>
    </row>
    <row r="3" customFormat="false" ht="27.7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27.75" hidden="false" customHeight="true" outlineLevel="0" collapsed="false">
      <c r="A4" s="2" t="s">
        <v>2</v>
      </c>
      <c r="B4" s="2"/>
      <c r="C4" s="2"/>
      <c r="D4" s="2"/>
      <c r="E4" s="2"/>
      <c r="F4" s="2"/>
    </row>
    <row r="5" customFormat="false" ht="27.75" hidden="false" customHeight="true" outlineLevel="0" collapsed="false">
      <c r="A5" s="2" t="s">
        <v>3</v>
      </c>
      <c r="B5" s="2"/>
      <c r="C5" s="2"/>
      <c r="D5" s="2"/>
      <c r="E5" s="2"/>
      <c r="F5" s="2"/>
    </row>
    <row r="6" customFormat="false" ht="27.75" hidden="false" customHeight="true" outlineLevel="0" collapsed="false">
      <c r="A6" s="2" t="s">
        <v>4</v>
      </c>
      <c r="B6" s="2"/>
      <c r="C6" s="2"/>
      <c r="D6" s="2"/>
      <c r="E6" s="2"/>
      <c r="F6" s="2"/>
    </row>
    <row r="7" customFormat="false" ht="27.75" hidden="false" customHeight="true" outlineLevel="0" collapsed="false">
      <c r="A7" s="2" t="s">
        <v>5</v>
      </c>
      <c r="B7" s="2"/>
      <c r="C7" s="2"/>
      <c r="D7" s="2"/>
      <c r="E7" s="2"/>
      <c r="F7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4" t="s">
        <v>7</v>
      </c>
      <c r="B11" s="3" t="n">
        <f aca="false">COUNTA(Companies!B:B)-1</f>
        <v>102</v>
      </c>
    </row>
    <row r="12" customFormat="false" ht="15" hidden="false" customHeight="false" outlineLevel="0" collapsed="false">
      <c r="A12" s="4" t="s">
        <v>8</v>
      </c>
      <c r="B12" s="3" t="n">
        <f aca="false">COUNTA('Job Openings'!B:B)-1</f>
        <v>160</v>
      </c>
    </row>
    <row r="13" customFormat="false" ht="15" hidden="false" customHeight="false" outlineLevel="0" collapsed="false">
      <c r="A13" s="4" t="s">
        <v>9</v>
      </c>
      <c r="B13" s="3" t="n">
        <f aca="false">COUNTIF('Job Openings'!I:I,"Specific job posting")</f>
        <v>122</v>
      </c>
    </row>
    <row r="14" customFormat="false" ht="15" hidden="false" customHeight="false" outlineLevel="0" collapsed="false">
      <c r="A14" s="4" t="s">
        <v>10</v>
      </c>
      <c r="B14" s="3" t="n">
        <f aca="false">COUNTIF('Job Openings'!I:I,"Careers / search page")</f>
        <v>38</v>
      </c>
    </row>
    <row r="17" customFormat="false" ht="30" hidden="false" customHeight="true" outlineLevel="0" collapsed="false">
      <c r="A17" s="5" t="s">
        <v>11</v>
      </c>
      <c r="B17" s="5" t="s">
        <v>7</v>
      </c>
      <c r="C17" s="5" t="s">
        <v>12</v>
      </c>
    </row>
    <row r="18" customFormat="false" ht="15" hidden="false" customHeight="false" outlineLevel="0" collapsed="false">
      <c r="A18" s="4" t="s">
        <v>13</v>
      </c>
      <c r="B18" s="4" t="n">
        <f aca="false">COUNTIF(Companies!C:C,A18)</f>
        <v>23</v>
      </c>
      <c r="C18" s="4" t="n">
        <f aca="false">COUNTIF('Job Openings'!C:C,A18)</f>
        <v>33</v>
      </c>
    </row>
    <row r="19" customFormat="false" ht="15" hidden="false" customHeight="false" outlineLevel="0" collapsed="false">
      <c r="A19" s="4" t="s">
        <v>14</v>
      </c>
      <c r="B19" s="4" t="n">
        <f aca="false">COUNTIF(Companies!C:C,A19)</f>
        <v>27</v>
      </c>
      <c r="C19" s="4" t="n">
        <f aca="false">COUNTIF('Job Openings'!C:C,A19)</f>
        <v>42</v>
      </c>
    </row>
    <row r="20" customFormat="false" ht="15" hidden="false" customHeight="false" outlineLevel="0" collapsed="false">
      <c r="A20" s="4" t="s">
        <v>15</v>
      </c>
      <c r="B20" s="4" t="n">
        <f aca="false">COUNTIF(Companies!C:C,A20)</f>
        <v>24</v>
      </c>
      <c r="C20" s="4" t="n">
        <f aca="false">COUNTIF('Job Openings'!C:C,A20)</f>
        <v>34</v>
      </c>
    </row>
    <row r="21" customFormat="false" ht="15" hidden="false" customHeight="false" outlineLevel="0" collapsed="false">
      <c r="A21" s="4" t="s">
        <v>16</v>
      </c>
      <c r="B21" s="4" t="n">
        <f aca="false">COUNTIF(Companies!C:C,A21)</f>
        <v>5</v>
      </c>
      <c r="C21" s="4" t="n">
        <f aca="false">COUNTIF('Job Openings'!C:C,A21)</f>
        <v>13</v>
      </c>
    </row>
    <row r="22" customFormat="false" ht="15" hidden="false" customHeight="false" outlineLevel="0" collapsed="false">
      <c r="A22" s="4" t="s">
        <v>17</v>
      </c>
      <c r="B22" s="4" t="n">
        <f aca="false">COUNTIF(Companies!C:C,A22)</f>
        <v>6</v>
      </c>
      <c r="C22" s="4" t="n">
        <f aca="false">COUNTIF('Job Openings'!C:C,A22)</f>
        <v>12</v>
      </c>
    </row>
    <row r="23" customFormat="false" ht="15" hidden="false" customHeight="false" outlineLevel="0" collapsed="false">
      <c r="A23" s="4" t="s">
        <v>18</v>
      </c>
      <c r="B23" s="4" t="n">
        <f aca="false">COUNTIF(Companies!C:C,A23)</f>
        <v>5</v>
      </c>
      <c r="C23" s="4" t="n">
        <f aca="false">COUNTIF('Job Openings'!C:C,A23)</f>
        <v>12</v>
      </c>
    </row>
    <row r="24" customFormat="false" ht="15" hidden="false" customHeight="false" outlineLevel="0" collapsed="false">
      <c r="A24" s="4" t="s">
        <v>19</v>
      </c>
      <c r="B24" s="4" t="n">
        <f aca="false">COUNTIF(Companies!C:C,A24)</f>
        <v>12</v>
      </c>
      <c r="C24" s="4" t="n">
        <f aca="false">COUNTIF('Job Openings'!C:C,A24)</f>
        <v>14</v>
      </c>
    </row>
    <row r="25" customFormat="false" ht="15" hidden="false" customHeight="false" outlineLevel="0" collapsed="false">
      <c r="A25" s="6" t="s">
        <v>20</v>
      </c>
      <c r="B25" s="6" t="n">
        <f aca="false">SUM(B18:B24)</f>
        <v>102</v>
      </c>
      <c r="C25" s="6" t="n">
        <f aca="false">SUM(C18:C24)</f>
        <v>160</v>
      </c>
    </row>
    <row r="28" customFormat="false" ht="30" hidden="false" customHeight="true" outlineLevel="0" collapsed="false">
      <c r="A28" s="5" t="s">
        <v>21</v>
      </c>
      <c r="B28" s="5" t="s">
        <v>12</v>
      </c>
      <c r="C28" s="5" t="s">
        <v>22</v>
      </c>
    </row>
    <row r="29" customFormat="false" ht="15" hidden="false" customHeight="false" outlineLevel="0" collapsed="false">
      <c r="A29" s="4" t="s">
        <v>23</v>
      </c>
      <c r="B29" s="4" t="n">
        <f aca="false">COUNTIF('Job Openings'!E:E,A29)</f>
        <v>24</v>
      </c>
      <c r="C29" s="7" t="n">
        <f aca="false">IF($B$12=0,0,B29/$B$12)</f>
        <v>0.15</v>
      </c>
    </row>
    <row r="30" customFormat="false" ht="15" hidden="false" customHeight="false" outlineLevel="0" collapsed="false">
      <c r="A30" s="4" t="s">
        <v>24</v>
      </c>
      <c r="B30" s="4" t="n">
        <f aca="false">COUNTIF('Job Openings'!E:E,A30)</f>
        <v>17</v>
      </c>
      <c r="C30" s="7" t="n">
        <f aca="false">IF($B$12=0,0,B30/$B$12)</f>
        <v>0.10625</v>
      </c>
    </row>
    <row r="31" customFormat="false" ht="15" hidden="false" customHeight="false" outlineLevel="0" collapsed="false">
      <c r="A31" s="4" t="s">
        <v>25</v>
      </c>
      <c r="B31" s="4" t="n">
        <f aca="false">COUNTIF('Job Openings'!E:E,A31)</f>
        <v>100</v>
      </c>
      <c r="C31" s="7" t="n">
        <f aca="false">IF($B$12=0,0,B31/$B$12)</f>
        <v>0.625</v>
      </c>
    </row>
    <row r="32" customFormat="false" ht="15" hidden="false" customHeight="false" outlineLevel="0" collapsed="false">
      <c r="A32" s="4" t="s">
        <v>26</v>
      </c>
      <c r="B32" s="4" t="n">
        <f aca="false">COUNTIF('Job Openings'!E:E,A32)</f>
        <v>7</v>
      </c>
      <c r="C32" s="7" t="n">
        <f aca="false">IF($B$12=0,0,B32/$B$12)</f>
        <v>0.04375</v>
      </c>
    </row>
    <row r="33" customFormat="false" ht="15" hidden="false" customHeight="false" outlineLevel="0" collapsed="false">
      <c r="A33" s="4" t="s">
        <v>27</v>
      </c>
      <c r="B33" s="4" t="n">
        <f aca="false">COUNTIF('Job Openings'!E:E,A33)</f>
        <v>12</v>
      </c>
      <c r="C33" s="7" t="n">
        <f aca="false">IF($B$12=0,0,B33/$B$12)</f>
        <v>0.075</v>
      </c>
    </row>
    <row r="34" customFormat="false" ht="15" hidden="false" customHeight="false" outlineLevel="0" collapsed="false">
      <c r="A34" s="4" t="s">
        <v>28</v>
      </c>
      <c r="B34" s="4" t="n">
        <f aca="false">COUNTIF('Job Openings'!E:E,A34)</f>
        <v>0</v>
      </c>
      <c r="C34" s="7" t="n">
        <f aca="false">IF($B$12=0,0,B34/$B$12)</f>
        <v>0</v>
      </c>
    </row>
  </sheetData>
  <mergeCells count="5">
    <mergeCell ref="A3:F3"/>
    <mergeCell ref="A4:F4"/>
    <mergeCell ref="A5:F5"/>
    <mergeCell ref="A6:F6"/>
    <mergeCell ref="A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30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36"/>
    <col collapsed="false" customWidth="true" hidden="false" outlineLevel="0" max="7" min="7" style="0" width="34"/>
    <col collapsed="false" customWidth="true" hidden="false" outlineLevel="0" max="8" min="8" style="0" width="60"/>
    <col collapsed="false" customWidth="true" hidden="false" outlineLevel="0" max="10" min="9" style="0" width="55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37</v>
      </c>
      <c r="J1" s="5" t="s">
        <v>38</v>
      </c>
      <c r="K1" s="5" t="s">
        <v>39</v>
      </c>
    </row>
    <row r="2" customFormat="false" ht="15" hidden="false" customHeight="false" outlineLevel="0" collapsed="false">
      <c r="A2" s="8" t="n">
        <v>1</v>
      </c>
      <c r="B2" s="9" t="s">
        <v>40</v>
      </c>
      <c r="C2" s="8" t="s">
        <v>14</v>
      </c>
      <c r="D2" s="8" t="s">
        <v>41</v>
      </c>
      <c r="E2" s="8" t="n">
        <f aca="false">COUNTIF('Job Openings'!B:B,B2)</f>
        <v>2</v>
      </c>
      <c r="F2" s="10" t="s">
        <v>25</v>
      </c>
      <c r="G2" s="10" t="s">
        <v>42</v>
      </c>
      <c r="H2" s="11" t="s">
        <v>43</v>
      </c>
      <c r="I2" s="11" t="s">
        <v>44</v>
      </c>
      <c r="J2" s="11" t="s">
        <v>45</v>
      </c>
      <c r="K2" s="12"/>
    </row>
    <row r="3" customFormat="false" ht="15" hidden="false" customHeight="false" outlineLevel="0" collapsed="false">
      <c r="A3" s="4" t="n">
        <v>2</v>
      </c>
      <c r="B3" s="6" t="s">
        <v>46</v>
      </c>
      <c r="C3" s="4" t="s">
        <v>14</v>
      </c>
      <c r="D3" s="4" t="s">
        <v>47</v>
      </c>
      <c r="E3" s="4" t="n">
        <f aca="false">COUNTIF('Job Openings'!B:B,B3)</f>
        <v>2</v>
      </c>
      <c r="F3" s="13" t="s">
        <v>48</v>
      </c>
      <c r="G3" s="13" t="s">
        <v>42</v>
      </c>
      <c r="H3" s="11" t="s">
        <v>49</v>
      </c>
      <c r="I3" s="11" t="s">
        <v>50</v>
      </c>
      <c r="J3" s="11" t="s">
        <v>51</v>
      </c>
      <c r="K3" s="12"/>
    </row>
    <row r="4" customFormat="false" ht="15" hidden="false" customHeight="false" outlineLevel="0" collapsed="false">
      <c r="A4" s="8" t="n">
        <v>3</v>
      </c>
      <c r="B4" s="9" t="s">
        <v>52</v>
      </c>
      <c r="C4" s="8" t="s">
        <v>14</v>
      </c>
      <c r="D4" s="8" t="s">
        <v>47</v>
      </c>
      <c r="E4" s="8" t="n">
        <f aca="false">COUNTIF('Job Openings'!B:B,B4)</f>
        <v>4</v>
      </c>
      <c r="F4" s="10" t="s">
        <v>53</v>
      </c>
      <c r="G4" s="10" t="s">
        <v>54</v>
      </c>
      <c r="H4" s="11" t="s">
        <v>55</v>
      </c>
      <c r="I4" s="11" t="s">
        <v>56</v>
      </c>
      <c r="J4" s="11" t="s">
        <v>57</v>
      </c>
      <c r="K4" s="12"/>
    </row>
    <row r="5" customFormat="false" ht="15" hidden="false" customHeight="false" outlineLevel="0" collapsed="false">
      <c r="A5" s="4" t="n">
        <v>4</v>
      </c>
      <c r="B5" s="6" t="s">
        <v>58</v>
      </c>
      <c r="C5" s="4" t="s">
        <v>14</v>
      </c>
      <c r="D5" s="4" t="s">
        <v>59</v>
      </c>
      <c r="E5" s="4" t="n">
        <f aca="false">COUNTIF('Job Openings'!B:B,B5)</f>
        <v>2</v>
      </c>
      <c r="F5" s="13" t="s">
        <v>25</v>
      </c>
      <c r="G5" s="13" t="s">
        <v>42</v>
      </c>
      <c r="H5" s="11" t="s">
        <v>60</v>
      </c>
      <c r="I5" s="11" t="s">
        <v>61</v>
      </c>
      <c r="J5" s="11" t="s">
        <v>62</v>
      </c>
      <c r="K5" s="12"/>
    </row>
    <row r="6" customFormat="false" ht="15" hidden="false" customHeight="false" outlineLevel="0" collapsed="false">
      <c r="A6" s="8" t="n">
        <v>5</v>
      </c>
      <c r="B6" s="9" t="s">
        <v>63</v>
      </c>
      <c r="C6" s="8" t="s">
        <v>14</v>
      </c>
      <c r="D6" s="8" t="s">
        <v>64</v>
      </c>
      <c r="E6" s="8" t="n">
        <f aca="false">COUNTIF('Job Openings'!B:B,B6)</f>
        <v>2</v>
      </c>
      <c r="F6" s="10" t="s">
        <v>53</v>
      </c>
      <c r="G6" s="10" t="s">
        <v>42</v>
      </c>
      <c r="H6" s="11" t="s">
        <v>65</v>
      </c>
      <c r="I6" s="11" t="s">
        <v>66</v>
      </c>
      <c r="J6" s="11" t="s">
        <v>67</v>
      </c>
      <c r="K6" s="12"/>
    </row>
    <row r="7" customFormat="false" ht="15" hidden="false" customHeight="false" outlineLevel="0" collapsed="false">
      <c r="A7" s="4" t="n">
        <v>6</v>
      </c>
      <c r="B7" s="6" t="s">
        <v>68</v>
      </c>
      <c r="C7" s="4" t="s">
        <v>14</v>
      </c>
      <c r="D7" s="4" t="s">
        <v>59</v>
      </c>
      <c r="E7" s="4" t="n">
        <f aca="false">COUNTIF('Job Openings'!B:B,B7)</f>
        <v>2</v>
      </c>
      <c r="F7" s="13" t="s">
        <v>25</v>
      </c>
      <c r="G7" s="13" t="s">
        <v>69</v>
      </c>
      <c r="H7" s="11" t="s">
        <v>70</v>
      </c>
      <c r="I7" s="11" t="s">
        <v>71</v>
      </c>
      <c r="J7" s="11" t="s">
        <v>72</v>
      </c>
      <c r="K7" s="12"/>
    </row>
    <row r="8" customFormat="false" ht="15" hidden="false" customHeight="false" outlineLevel="0" collapsed="false">
      <c r="A8" s="8" t="n">
        <v>7</v>
      </c>
      <c r="B8" s="9" t="s">
        <v>73</v>
      </c>
      <c r="C8" s="8" t="s">
        <v>14</v>
      </c>
      <c r="D8" s="8" t="s">
        <v>74</v>
      </c>
      <c r="E8" s="8" t="n">
        <f aca="false">COUNTIF('Job Openings'!B:B,B8)</f>
        <v>1</v>
      </c>
      <c r="F8" s="10" t="s">
        <v>25</v>
      </c>
      <c r="G8" s="10" t="s">
        <v>75</v>
      </c>
      <c r="H8" s="11" t="s">
        <v>76</v>
      </c>
      <c r="I8" s="11" t="s">
        <v>77</v>
      </c>
      <c r="J8" s="11" t="s">
        <v>78</v>
      </c>
      <c r="K8" s="12"/>
    </row>
    <row r="9" customFormat="false" ht="15" hidden="false" customHeight="false" outlineLevel="0" collapsed="false">
      <c r="A9" s="4" t="n">
        <v>8</v>
      </c>
      <c r="B9" s="6" t="s">
        <v>79</v>
      </c>
      <c r="C9" s="4" t="s">
        <v>14</v>
      </c>
      <c r="D9" s="4" t="s">
        <v>80</v>
      </c>
      <c r="E9" s="4" t="n">
        <f aca="false">COUNTIF('Job Openings'!B:B,B9)</f>
        <v>1</v>
      </c>
      <c r="F9" s="13" t="s">
        <v>25</v>
      </c>
      <c r="G9" s="13" t="s">
        <v>81</v>
      </c>
      <c r="H9" s="11" t="s">
        <v>82</v>
      </c>
      <c r="I9" s="11" t="s">
        <v>83</v>
      </c>
      <c r="J9" s="11" t="s">
        <v>84</v>
      </c>
      <c r="K9" s="12"/>
    </row>
    <row r="10" customFormat="false" ht="15" hidden="false" customHeight="false" outlineLevel="0" collapsed="false">
      <c r="A10" s="8" t="n">
        <v>9</v>
      </c>
      <c r="B10" s="9" t="s">
        <v>85</v>
      </c>
      <c r="C10" s="8" t="s">
        <v>14</v>
      </c>
      <c r="D10" s="8" t="s">
        <v>86</v>
      </c>
      <c r="E10" s="8" t="n">
        <f aca="false">COUNTIF('Job Openings'!B:B,B10)</f>
        <v>2</v>
      </c>
      <c r="F10" s="10" t="s">
        <v>53</v>
      </c>
      <c r="G10" s="10" t="s">
        <v>87</v>
      </c>
      <c r="H10" s="11" t="s">
        <v>88</v>
      </c>
      <c r="I10" s="11" t="s">
        <v>89</v>
      </c>
      <c r="J10" s="11" t="s">
        <v>90</v>
      </c>
      <c r="K10" s="12"/>
    </row>
    <row r="11" customFormat="false" ht="15" hidden="false" customHeight="false" outlineLevel="0" collapsed="false">
      <c r="A11" s="4" t="n">
        <v>10</v>
      </c>
      <c r="B11" s="6" t="s">
        <v>91</v>
      </c>
      <c r="C11" s="4" t="s">
        <v>14</v>
      </c>
      <c r="D11" s="4" t="s">
        <v>92</v>
      </c>
      <c r="E11" s="4" t="n">
        <f aca="false">COUNTIF('Job Openings'!B:B,B11)</f>
        <v>2</v>
      </c>
      <c r="F11" s="13" t="s">
        <v>25</v>
      </c>
      <c r="G11" s="13" t="s">
        <v>42</v>
      </c>
      <c r="H11" s="11" t="s">
        <v>93</v>
      </c>
      <c r="I11" s="11" t="s">
        <v>94</v>
      </c>
      <c r="J11" s="11" t="s">
        <v>95</v>
      </c>
      <c r="K11" s="12"/>
    </row>
    <row r="12" customFormat="false" ht="15" hidden="false" customHeight="false" outlineLevel="0" collapsed="false">
      <c r="A12" s="8" t="n">
        <v>11</v>
      </c>
      <c r="B12" s="9" t="s">
        <v>96</v>
      </c>
      <c r="C12" s="8" t="s">
        <v>19</v>
      </c>
      <c r="D12" s="8" t="s">
        <v>97</v>
      </c>
      <c r="E12" s="8" t="n">
        <f aca="false">COUNTIF('Job Openings'!B:B,B12)</f>
        <v>2</v>
      </c>
      <c r="F12" s="10" t="s">
        <v>25</v>
      </c>
      <c r="G12" s="10" t="s">
        <v>42</v>
      </c>
      <c r="H12" s="11" t="s">
        <v>98</v>
      </c>
      <c r="I12" s="11" t="s">
        <v>99</v>
      </c>
      <c r="J12" s="11" t="s">
        <v>100</v>
      </c>
      <c r="K12" s="12"/>
    </row>
    <row r="13" customFormat="false" ht="15" hidden="false" customHeight="false" outlineLevel="0" collapsed="false">
      <c r="A13" s="4" t="n">
        <v>12</v>
      </c>
      <c r="B13" s="6" t="s">
        <v>101</v>
      </c>
      <c r="C13" s="4" t="s">
        <v>14</v>
      </c>
      <c r="D13" s="4" t="s">
        <v>102</v>
      </c>
      <c r="E13" s="4" t="n">
        <f aca="false">COUNTIF('Job Openings'!B:B,B13)</f>
        <v>2</v>
      </c>
      <c r="F13" s="13" t="s">
        <v>25</v>
      </c>
      <c r="G13" s="13" t="s">
        <v>103</v>
      </c>
      <c r="H13" s="11" t="s">
        <v>104</v>
      </c>
      <c r="I13" s="11" t="s">
        <v>105</v>
      </c>
      <c r="J13" s="11" t="s">
        <v>106</v>
      </c>
      <c r="K13" s="12"/>
    </row>
    <row r="14" customFormat="false" ht="15" hidden="false" customHeight="false" outlineLevel="0" collapsed="false">
      <c r="A14" s="8" t="n">
        <v>13</v>
      </c>
      <c r="B14" s="9" t="s">
        <v>107</v>
      </c>
      <c r="C14" s="8" t="s">
        <v>16</v>
      </c>
      <c r="D14" s="8" t="s">
        <v>108</v>
      </c>
      <c r="E14" s="8" t="n">
        <f aca="false">COUNTIF('Job Openings'!B:B,B14)</f>
        <v>1</v>
      </c>
      <c r="F14" s="10" t="s">
        <v>25</v>
      </c>
      <c r="G14" s="10" t="s">
        <v>109</v>
      </c>
      <c r="H14" s="11" t="s">
        <v>110</v>
      </c>
      <c r="I14" s="11" t="s">
        <v>110</v>
      </c>
      <c r="J14" s="11" t="s">
        <v>111</v>
      </c>
      <c r="K14" s="12"/>
    </row>
    <row r="15" customFormat="false" ht="15" hidden="false" customHeight="false" outlineLevel="0" collapsed="false">
      <c r="A15" s="4" t="n">
        <v>14</v>
      </c>
      <c r="B15" s="6" t="s">
        <v>112</v>
      </c>
      <c r="C15" s="4" t="s">
        <v>18</v>
      </c>
      <c r="D15" s="4" t="s">
        <v>113</v>
      </c>
      <c r="E15" s="4" t="n">
        <f aca="false">COUNTIF('Job Openings'!B:B,B15)</f>
        <v>3</v>
      </c>
      <c r="F15" s="13" t="s">
        <v>114</v>
      </c>
      <c r="G15" s="13" t="s">
        <v>115</v>
      </c>
      <c r="H15" s="11" t="s">
        <v>116</v>
      </c>
      <c r="I15" s="11" t="s">
        <v>117</v>
      </c>
      <c r="J15" s="11" t="s">
        <v>118</v>
      </c>
      <c r="K15" s="12"/>
    </row>
    <row r="16" customFormat="false" ht="15" hidden="false" customHeight="false" outlineLevel="0" collapsed="false">
      <c r="A16" s="8" t="n">
        <v>15</v>
      </c>
      <c r="B16" s="9" t="s">
        <v>119</v>
      </c>
      <c r="C16" s="8" t="s">
        <v>18</v>
      </c>
      <c r="D16" s="8" t="s">
        <v>120</v>
      </c>
      <c r="E16" s="8" t="n">
        <f aca="false">COUNTIF('Job Openings'!B:B,B16)</f>
        <v>3</v>
      </c>
      <c r="F16" s="10" t="s">
        <v>25</v>
      </c>
      <c r="G16" s="10" t="s">
        <v>42</v>
      </c>
      <c r="H16" s="11" t="s">
        <v>121</v>
      </c>
      <c r="I16" s="11" t="s">
        <v>122</v>
      </c>
      <c r="J16" s="11" t="s">
        <v>123</v>
      </c>
      <c r="K16" s="12"/>
    </row>
    <row r="17" customFormat="false" ht="15" hidden="false" customHeight="false" outlineLevel="0" collapsed="false">
      <c r="A17" s="4" t="n">
        <v>16</v>
      </c>
      <c r="B17" s="6" t="s">
        <v>124</v>
      </c>
      <c r="C17" s="4" t="s">
        <v>15</v>
      </c>
      <c r="D17" s="4" t="s">
        <v>125</v>
      </c>
      <c r="E17" s="4" t="n">
        <f aca="false">COUNTIF('Job Openings'!B:B,B17)</f>
        <v>3</v>
      </c>
      <c r="F17" s="13" t="s">
        <v>25</v>
      </c>
      <c r="G17" s="13" t="s">
        <v>87</v>
      </c>
      <c r="H17" s="11" t="s">
        <v>126</v>
      </c>
      <c r="I17" s="11" t="s">
        <v>127</v>
      </c>
      <c r="J17" s="11" t="s">
        <v>128</v>
      </c>
      <c r="K17" s="12"/>
    </row>
    <row r="18" customFormat="false" ht="15" hidden="false" customHeight="false" outlineLevel="0" collapsed="false">
      <c r="A18" s="8" t="n">
        <v>17</v>
      </c>
      <c r="B18" s="9" t="s">
        <v>129</v>
      </c>
      <c r="C18" s="8" t="s">
        <v>15</v>
      </c>
      <c r="D18" s="8" t="s">
        <v>130</v>
      </c>
      <c r="E18" s="8" t="n">
        <f aca="false">COUNTIF('Job Openings'!B:B,B18)</f>
        <v>1</v>
      </c>
      <c r="F18" s="10" t="s">
        <v>25</v>
      </c>
      <c r="G18" s="10" t="s">
        <v>131</v>
      </c>
      <c r="H18" s="11" t="s">
        <v>132</v>
      </c>
      <c r="I18" s="11" t="s">
        <v>133</v>
      </c>
      <c r="J18" s="11" t="s">
        <v>134</v>
      </c>
      <c r="K18" s="12"/>
    </row>
    <row r="19" customFormat="false" ht="15" hidden="false" customHeight="false" outlineLevel="0" collapsed="false">
      <c r="A19" s="4" t="n">
        <v>18</v>
      </c>
      <c r="B19" s="6" t="s">
        <v>135</v>
      </c>
      <c r="C19" s="4" t="s">
        <v>16</v>
      </c>
      <c r="D19" s="4" t="s">
        <v>136</v>
      </c>
      <c r="E19" s="4" t="n">
        <f aca="false">COUNTIF('Job Openings'!B:B,B19)</f>
        <v>3</v>
      </c>
      <c r="F19" s="13" t="s">
        <v>137</v>
      </c>
      <c r="G19" s="13" t="s">
        <v>42</v>
      </c>
      <c r="H19" s="11" t="s">
        <v>138</v>
      </c>
      <c r="I19" s="11" t="s">
        <v>139</v>
      </c>
      <c r="J19" s="11" t="s">
        <v>140</v>
      </c>
      <c r="K19" s="12"/>
    </row>
    <row r="20" customFormat="false" ht="15" hidden="false" customHeight="false" outlineLevel="0" collapsed="false">
      <c r="A20" s="8" t="n">
        <v>19</v>
      </c>
      <c r="B20" s="9" t="s">
        <v>141</v>
      </c>
      <c r="C20" s="8" t="s">
        <v>16</v>
      </c>
      <c r="D20" s="8" t="s">
        <v>136</v>
      </c>
      <c r="E20" s="8" t="n">
        <f aca="false">COUNTIF('Job Openings'!B:B,B20)</f>
        <v>6</v>
      </c>
      <c r="F20" s="10" t="s">
        <v>142</v>
      </c>
      <c r="G20" s="10" t="s">
        <v>143</v>
      </c>
      <c r="H20" s="11" t="s">
        <v>144</v>
      </c>
      <c r="I20" s="11" t="s">
        <v>145</v>
      </c>
      <c r="J20" s="11" t="s">
        <v>146</v>
      </c>
      <c r="K20" s="12"/>
    </row>
    <row r="21" customFormat="false" ht="15" hidden="false" customHeight="false" outlineLevel="0" collapsed="false">
      <c r="A21" s="4" t="n">
        <v>20</v>
      </c>
      <c r="B21" s="6" t="s">
        <v>147</v>
      </c>
      <c r="C21" s="4" t="s">
        <v>16</v>
      </c>
      <c r="D21" s="4" t="s">
        <v>148</v>
      </c>
      <c r="E21" s="4" t="n">
        <f aca="false">COUNTIF('Job Openings'!B:B,B21)</f>
        <v>2</v>
      </c>
      <c r="F21" s="13" t="s">
        <v>25</v>
      </c>
      <c r="G21" s="13" t="s">
        <v>87</v>
      </c>
      <c r="H21" s="11" t="s">
        <v>149</v>
      </c>
      <c r="I21" s="11" t="s">
        <v>150</v>
      </c>
      <c r="J21" s="11" t="s">
        <v>151</v>
      </c>
      <c r="K21" s="12"/>
    </row>
    <row r="22" customFormat="false" ht="15" hidden="false" customHeight="false" outlineLevel="0" collapsed="false">
      <c r="A22" s="8" t="n">
        <v>21</v>
      </c>
      <c r="B22" s="9" t="s">
        <v>152</v>
      </c>
      <c r="C22" s="8" t="s">
        <v>18</v>
      </c>
      <c r="D22" s="8" t="s">
        <v>153</v>
      </c>
      <c r="E22" s="8" t="n">
        <f aca="false">COUNTIF('Job Openings'!B:B,B22)</f>
        <v>2</v>
      </c>
      <c r="F22" s="10" t="s">
        <v>25</v>
      </c>
      <c r="G22" s="10" t="s">
        <v>154</v>
      </c>
      <c r="H22" s="11" t="s">
        <v>155</v>
      </c>
      <c r="I22" s="11" t="s">
        <v>156</v>
      </c>
      <c r="J22" s="11" t="s">
        <v>157</v>
      </c>
      <c r="K22" s="12"/>
    </row>
    <row r="23" customFormat="false" ht="23.85" hidden="false" customHeight="false" outlineLevel="0" collapsed="false">
      <c r="A23" s="4" t="n">
        <v>22</v>
      </c>
      <c r="B23" s="6" t="s">
        <v>158</v>
      </c>
      <c r="C23" s="4" t="s">
        <v>18</v>
      </c>
      <c r="D23" s="4" t="s">
        <v>153</v>
      </c>
      <c r="E23" s="4" t="n">
        <f aca="false">COUNTIF('Job Openings'!B:B,B23)</f>
        <v>2</v>
      </c>
      <c r="F23" s="13" t="s">
        <v>48</v>
      </c>
      <c r="G23" s="13" t="s">
        <v>159</v>
      </c>
      <c r="H23" s="11" t="s">
        <v>160</v>
      </c>
      <c r="I23" s="11" t="s">
        <v>161</v>
      </c>
      <c r="J23" s="11" t="s">
        <v>162</v>
      </c>
      <c r="K23" s="12"/>
    </row>
    <row r="24" customFormat="false" ht="15" hidden="false" customHeight="false" outlineLevel="0" collapsed="false">
      <c r="A24" s="8" t="n">
        <v>23</v>
      </c>
      <c r="B24" s="9" t="s">
        <v>163</v>
      </c>
      <c r="C24" s="8" t="s">
        <v>18</v>
      </c>
      <c r="D24" s="8" t="s">
        <v>164</v>
      </c>
      <c r="E24" s="8" t="n">
        <f aca="false">COUNTIF('Job Openings'!B:B,B24)</f>
        <v>2</v>
      </c>
      <c r="F24" s="10" t="s">
        <v>53</v>
      </c>
      <c r="G24" s="10" t="s">
        <v>165</v>
      </c>
      <c r="H24" s="11" t="s">
        <v>166</v>
      </c>
      <c r="I24" s="11" t="s">
        <v>167</v>
      </c>
      <c r="J24" s="11" t="s">
        <v>168</v>
      </c>
      <c r="K24" s="12"/>
    </row>
    <row r="25" customFormat="false" ht="15" hidden="false" customHeight="false" outlineLevel="0" collapsed="false">
      <c r="A25" s="4" t="n">
        <v>24</v>
      </c>
      <c r="B25" s="6" t="s">
        <v>169</v>
      </c>
      <c r="C25" s="4" t="s">
        <v>15</v>
      </c>
      <c r="D25" s="4" t="s">
        <v>170</v>
      </c>
      <c r="E25" s="4" t="n">
        <f aca="false">COUNTIF('Job Openings'!B:B,B25)</f>
        <v>1</v>
      </c>
      <c r="F25" s="13" t="s">
        <v>25</v>
      </c>
      <c r="G25" s="13" t="s">
        <v>171</v>
      </c>
      <c r="H25" s="11" t="s">
        <v>172</v>
      </c>
      <c r="I25" s="11" t="s">
        <v>173</v>
      </c>
      <c r="J25" s="11" t="s">
        <v>174</v>
      </c>
      <c r="K25" s="12"/>
    </row>
    <row r="26" customFormat="false" ht="15" hidden="false" customHeight="false" outlineLevel="0" collapsed="false">
      <c r="A26" s="8" t="n">
        <v>25</v>
      </c>
      <c r="B26" s="9" t="s">
        <v>175</v>
      </c>
      <c r="C26" s="8" t="s">
        <v>15</v>
      </c>
      <c r="D26" s="8" t="s">
        <v>170</v>
      </c>
      <c r="E26" s="8" t="n">
        <f aca="false">COUNTIF('Job Openings'!B:B,B26)</f>
        <v>1</v>
      </c>
      <c r="F26" s="10" t="s">
        <v>25</v>
      </c>
      <c r="G26" s="10" t="s">
        <v>171</v>
      </c>
      <c r="H26" s="11" t="s">
        <v>176</v>
      </c>
      <c r="I26" s="11" t="s">
        <v>177</v>
      </c>
      <c r="J26" s="11" t="s">
        <v>177</v>
      </c>
      <c r="K26" s="12"/>
    </row>
    <row r="27" customFormat="false" ht="15" hidden="false" customHeight="false" outlineLevel="0" collapsed="false">
      <c r="A27" s="4" t="n">
        <v>26</v>
      </c>
      <c r="B27" s="6" t="s">
        <v>178</v>
      </c>
      <c r="C27" s="4" t="s">
        <v>15</v>
      </c>
      <c r="D27" s="4" t="s">
        <v>170</v>
      </c>
      <c r="E27" s="4" t="n">
        <f aca="false">COUNTIF('Job Openings'!B:B,B27)</f>
        <v>3</v>
      </c>
      <c r="F27" s="13" t="s">
        <v>25</v>
      </c>
      <c r="G27" s="13" t="s">
        <v>171</v>
      </c>
      <c r="H27" s="11" t="s">
        <v>179</v>
      </c>
      <c r="I27" s="11" t="s">
        <v>180</v>
      </c>
      <c r="J27" s="11" t="s">
        <v>181</v>
      </c>
      <c r="K27" s="12"/>
    </row>
    <row r="28" customFormat="false" ht="15" hidden="false" customHeight="false" outlineLevel="0" collapsed="false">
      <c r="A28" s="8" t="n">
        <v>27</v>
      </c>
      <c r="B28" s="9" t="s">
        <v>182</v>
      </c>
      <c r="C28" s="8" t="s">
        <v>15</v>
      </c>
      <c r="D28" s="8" t="s">
        <v>170</v>
      </c>
      <c r="E28" s="8" t="n">
        <f aca="false">COUNTIF('Job Openings'!B:B,B28)</f>
        <v>1</v>
      </c>
      <c r="F28" s="10" t="s">
        <v>25</v>
      </c>
      <c r="G28" s="10" t="s">
        <v>171</v>
      </c>
      <c r="H28" s="11" t="s">
        <v>183</v>
      </c>
      <c r="I28" s="11" t="s">
        <v>184</v>
      </c>
      <c r="J28" s="11" t="s">
        <v>185</v>
      </c>
      <c r="K28" s="12"/>
    </row>
    <row r="29" customFormat="false" ht="15" hidden="false" customHeight="false" outlineLevel="0" collapsed="false">
      <c r="A29" s="4" t="n">
        <v>28</v>
      </c>
      <c r="B29" s="6" t="s">
        <v>186</v>
      </c>
      <c r="C29" s="4" t="s">
        <v>15</v>
      </c>
      <c r="D29" s="4" t="s">
        <v>187</v>
      </c>
      <c r="E29" s="4" t="n">
        <f aca="false">COUNTIF('Job Openings'!B:B,B29)</f>
        <v>1</v>
      </c>
      <c r="F29" s="13" t="s">
        <v>25</v>
      </c>
      <c r="G29" s="13" t="s">
        <v>87</v>
      </c>
      <c r="H29" s="11" t="s">
        <v>188</v>
      </c>
      <c r="I29" s="11" t="s">
        <v>189</v>
      </c>
      <c r="J29" s="11" t="s">
        <v>190</v>
      </c>
      <c r="K29" s="12"/>
    </row>
    <row r="30" customFormat="false" ht="15" hidden="false" customHeight="false" outlineLevel="0" collapsed="false">
      <c r="A30" s="8" t="n">
        <v>29</v>
      </c>
      <c r="B30" s="9" t="s">
        <v>191</v>
      </c>
      <c r="C30" s="8" t="s">
        <v>15</v>
      </c>
      <c r="D30" s="8" t="s">
        <v>192</v>
      </c>
      <c r="E30" s="8" t="n">
        <f aca="false">COUNTIF('Job Openings'!B:B,B30)</f>
        <v>2</v>
      </c>
      <c r="F30" s="10" t="s">
        <v>25</v>
      </c>
      <c r="G30" s="10" t="s">
        <v>193</v>
      </c>
      <c r="H30" s="11" t="s">
        <v>194</v>
      </c>
      <c r="I30" s="11" t="s">
        <v>195</v>
      </c>
      <c r="J30" s="11" t="s">
        <v>196</v>
      </c>
      <c r="K30" s="12"/>
    </row>
    <row r="31" customFormat="false" ht="15" hidden="false" customHeight="false" outlineLevel="0" collapsed="false">
      <c r="A31" s="4" t="n">
        <v>30</v>
      </c>
      <c r="B31" s="6" t="s">
        <v>197</v>
      </c>
      <c r="C31" s="4" t="s">
        <v>15</v>
      </c>
      <c r="D31" s="4" t="s">
        <v>192</v>
      </c>
      <c r="E31" s="4" t="n">
        <f aca="false">COUNTIF('Job Openings'!B:B,B31)</f>
        <v>1</v>
      </c>
      <c r="F31" s="13" t="s">
        <v>25</v>
      </c>
      <c r="G31" s="13" t="s">
        <v>171</v>
      </c>
      <c r="H31" s="11" t="s">
        <v>198</v>
      </c>
      <c r="I31" s="11" t="s">
        <v>199</v>
      </c>
      <c r="J31" s="11" t="s">
        <v>199</v>
      </c>
      <c r="K31" s="12"/>
    </row>
    <row r="32" customFormat="false" ht="15" hidden="false" customHeight="false" outlineLevel="0" collapsed="false">
      <c r="A32" s="8" t="n">
        <v>31</v>
      </c>
      <c r="B32" s="9" t="s">
        <v>200</v>
      </c>
      <c r="C32" s="8" t="s">
        <v>15</v>
      </c>
      <c r="D32" s="8" t="s">
        <v>192</v>
      </c>
      <c r="E32" s="8" t="n">
        <f aca="false">COUNTIF('Job Openings'!B:B,B32)</f>
        <v>1</v>
      </c>
      <c r="F32" s="10" t="s">
        <v>26</v>
      </c>
      <c r="G32" s="10" t="s">
        <v>171</v>
      </c>
      <c r="H32" s="11" t="s">
        <v>201</v>
      </c>
      <c r="I32" s="11" t="s">
        <v>202</v>
      </c>
      <c r="J32" s="11" t="s">
        <v>203</v>
      </c>
      <c r="K32" s="12"/>
    </row>
    <row r="33" customFormat="false" ht="15" hidden="false" customHeight="false" outlineLevel="0" collapsed="false">
      <c r="A33" s="4" t="n">
        <v>32</v>
      </c>
      <c r="B33" s="6" t="s">
        <v>204</v>
      </c>
      <c r="C33" s="4" t="s">
        <v>15</v>
      </c>
      <c r="D33" s="4" t="s">
        <v>192</v>
      </c>
      <c r="E33" s="4" t="n">
        <f aca="false">COUNTIF('Job Openings'!B:B,B33)</f>
        <v>1</v>
      </c>
      <c r="F33" s="13" t="s">
        <v>25</v>
      </c>
      <c r="G33" s="13" t="s">
        <v>205</v>
      </c>
      <c r="H33" s="11" t="s">
        <v>206</v>
      </c>
      <c r="I33" s="11" t="s">
        <v>206</v>
      </c>
      <c r="J33" s="11" t="s">
        <v>207</v>
      </c>
      <c r="K33" s="12"/>
    </row>
    <row r="34" customFormat="false" ht="15" hidden="false" customHeight="false" outlineLevel="0" collapsed="false">
      <c r="A34" s="8" t="n">
        <v>33</v>
      </c>
      <c r="B34" s="9" t="s">
        <v>208</v>
      </c>
      <c r="C34" s="8" t="s">
        <v>15</v>
      </c>
      <c r="D34" s="8" t="s">
        <v>192</v>
      </c>
      <c r="E34" s="8" t="n">
        <f aca="false">COUNTIF('Job Openings'!B:B,B34)</f>
        <v>1</v>
      </c>
      <c r="F34" s="10" t="s">
        <v>25</v>
      </c>
      <c r="G34" s="10" t="s">
        <v>209</v>
      </c>
      <c r="H34" s="11" t="s">
        <v>210</v>
      </c>
      <c r="I34" s="11" t="s">
        <v>211</v>
      </c>
      <c r="J34" s="11" t="s">
        <v>212</v>
      </c>
      <c r="K34" s="12"/>
    </row>
    <row r="35" customFormat="false" ht="15" hidden="false" customHeight="false" outlineLevel="0" collapsed="false">
      <c r="A35" s="4" t="n">
        <v>34</v>
      </c>
      <c r="B35" s="6" t="s">
        <v>213</v>
      </c>
      <c r="C35" s="4" t="s">
        <v>15</v>
      </c>
      <c r="D35" s="4" t="s">
        <v>192</v>
      </c>
      <c r="E35" s="4" t="n">
        <f aca="false">COUNTIF('Job Openings'!B:B,B35)</f>
        <v>2</v>
      </c>
      <c r="F35" s="13" t="s">
        <v>25</v>
      </c>
      <c r="G35" s="13" t="s">
        <v>214</v>
      </c>
      <c r="H35" s="11" t="s">
        <v>215</v>
      </c>
      <c r="I35" s="11" t="s">
        <v>216</v>
      </c>
      <c r="J35" s="11" t="s">
        <v>217</v>
      </c>
      <c r="K35" s="12"/>
    </row>
    <row r="36" customFormat="false" ht="15" hidden="false" customHeight="false" outlineLevel="0" collapsed="false">
      <c r="A36" s="8" t="n">
        <v>35</v>
      </c>
      <c r="B36" s="9" t="s">
        <v>218</v>
      </c>
      <c r="C36" s="8" t="s">
        <v>15</v>
      </c>
      <c r="D36" s="8" t="s">
        <v>192</v>
      </c>
      <c r="E36" s="8" t="n">
        <f aca="false">COUNTIF('Job Openings'!B:B,B36)</f>
        <v>1</v>
      </c>
      <c r="F36" s="10" t="s">
        <v>25</v>
      </c>
      <c r="G36" s="10" t="s">
        <v>171</v>
      </c>
      <c r="H36" s="11" t="s">
        <v>219</v>
      </c>
      <c r="I36" s="11" t="s">
        <v>220</v>
      </c>
      <c r="J36" s="11" t="s">
        <v>221</v>
      </c>
      <c r="K36" s="12"/>
    </row>
    <row r="37" customFormat="false" ht="15" hidden="false" customHeight="false" outlineLevel="0" collapsed="false">
      <c r="A37" s="4" t="n">
        <v>36</v>
      </c>
      <c r="B37" s="6" t="s">
        <v>222</v>
      </c>
      <c r="C37" s="4" t="s">
        <v>19</v>
      </c>
      <c r="D37" s="4" t="s">
        <v>223</v>
      </c>
      <c r="E37" s="4" t="n">
        <f aca="false">COUNTIF('Job Openings'!B:B,B37)</f>
        <v>1</v>
      </c>
      <c r="F37" s="13" t="s">
        <v>25</v>
      </c>
      <c r="G37" s="13" t="s">
        <v>214</v>
      </c>
      <c r="H37" s="11" t="s">
        <v>224</v>
      </c>
      <c r="I37" s="11" t="s">
        <v>225</v>
      </c>
      <c r="J37" s="11" t="s">
        <v>226</v>
      </c>
      <c r="K37" s="12"/>
    </row>
    <row r="38" customFormat="false" ht="15" hidden="false" customHeight="false" outlineLevel="0" collapsed="false">
      <c r="A38" s="8" t="n">
        <v>37</v>
      </c>
      <c r="B38" s="9" t="s">
        <v>227</v>
      </c>
      <c r="C38" s="8" t="s">
        <v>19</v>
      </c>
      <c r="D38" s="8" t="s">
        <v>223</v>
      </c>
      <c r="E38" s="8" t="n">
        <f aca="false">COUNTIF('Job Openings'!B:B,B38)</f>
        <v>2</v>
      </c>
      <c r="F38" s="10" t="s">
        <v>24</v>
      </c>
      <c r="G38" s="10" t="s">
        <v>228</v>
      </c>
      <c r="H38" s="11" t="s">
        <v>229</v>
      </c>
      <c r="I38" s="11" t="s">
        <v>230</v>
      </c>
      <c r="J38" s="11" t="s">
        <v>231</v>
      </c>
      <c r="K38" s="12"/>
    </row>
    <row r="39" customFormat="false" ht="15" hidden="false" customHeight="false" outlineLevel="0" collapsed="false">
      <c r="A39" s="4" t="n">
        <v>38</v>
      </c>
      <c r="B39" s="6" t="s">
        <v>232</v>
      </c>
      <c r="C39" s="4" t="s">
        <v>19</v>
      </c>
      <c r="D39" s="4" t="s">
        <v>233</v>
      </c>
      <c r="E39" s="4" t="n">
        <f aca="false">COUNTIF('Job Openings'!B:B,B39)</f>
        <v>1</v>
      </c>
      <c r="F39" s="13" t="s">
        <v>25</v>
      </c>
      <c r="G39" s="13" t="s">
        <v>214</v>
      </c>
      <c r="H39" s="11" t="s">
        <v>234</v>
      </c>
      <c r="I39" s="11" t="s">
        <v>235</v>
      </c>
      <c r="J39" s="11" t="s">
        <v>236</v>
      </c>
      <c r="K39" s="12"/>
    </row>
    <row r="40" customFormat="false" ht="15" hidden="false" customHeight="false" outlineLevel="0" collapsed="false">
      <c r="A40" s="8" t="n">
        <v>39</v>
      </c>
      <c r="B40" s="9" t="s">
        <v>237</v>
      </c>
      <c r="C40" s="8" t="s">
        <v>19</v>
      </c>
      <c r="D40" s="8" t="s">
        <v>238</v>
      </c>
      <c r="E40" s="8" t="n">
        <f aca="false">COUNTIF('Job Openings'!B:B,B40)</f>
        <v>1</v>
      </c>
      <c r="F40" s="10" t="s">
        <v>25</v>
      </c>
      <c r="G40" s="10" t="s">
        <v>239</v>
      </c>
      <c r="H40" s="11" t="s">
        <v>240</v>
      </c>
      <c r="I40" s="11" t="s">
        <v>241</v>
      </c>
      <c r="J40" s="11" t="s">
        <v>242</v>
      </c>
      <c r="K40" s="12"/>
    </row>
    <row r="41" customFormat="false" ht="15" hidden="false" customHeight="false" outlineLevel="0" collapsed="false">
      <c r="A41" s="4" t="n">
        <v>40</v>
      </c>
      <c r="B41" s="6" t="s">
        <v>243</v>
      </c>
      <c r="C41" s="4" t="s">
        <v>13</v>
      </c>
      <c r="D41" s="4" t="s">
        <v>244</v>
      </c>
      <c r="E41" s="4" t="n">
        <f aca="false">COUNTIF('Job Openings'!B:B,B41)</f>
        <v>1</v>
      </c>
      <c r="F41" s="13" t="s">
        <v>23</v>
      </c>
      <c r="G41" s="13" t="s">
        <v>245</v>
      </c>
      <c r="H41" s="11" t="s">
        <v>246</v>
      </c>
      <c r="I41" s="11" t="s">
        <v>247</v>
      </c>
      <c r="J41" s="11" t="s">
        <v>248</v>
      </c>
      <c r="K41" s="12"/>
    </row>
    <row r="42" customFormat="false" ht="23.85" hidden="false" customHeight="false" outlineLevel="0" collapsed="false">
      <c r="A42" s="8" t="n">
        <v>41</v>
      </c>
      <c r="B42" s="9" t="s">
        <v>249</v>
      </c>
      <c r="C42" s="8" t="s">
        <v>13</v>
      </c>
      <c r="D42" s="8" t="s">
        <v>244</v>
      </c>
      <c r="E42" s="8" t="n">
        <f aca="false">COUNTIF('Job Openings'!B:B,B42)</f>
        <v>1</v>
      </c>
      <c r="F42" s="10" t="s">
        <v>23</v>
      </c>
      <c r="G42" s="10" t="s">
        <v>250</v>
      </c>
      <c r="H42" s="11" t="s">
        <v>251</v>
      </c>
      <c r="I42" s="11" t="s">
        <v>251</v>
      </c>
      <c r="J42" s="11" t="s">
        <v>252</v>
      </c>
      <c r="K42" s="12"/>
    </row>
    <row r="43" customFormat="false" ht="15" hidden="false" customHeight="false" outlineLevel="0" collapsed="false">
      <c r="A43" s="4" t="n">
        <v>42</v>
      </c>
      <c r="B43" s="6" t="s">
        <v>253</v>
      </c>
      <c r="C43" s="4" t="s">
        <v>13</v>
      </c>
      <c r="D43" s="4" t="s">
        <v>244</v>
      </c>
      <c r="E43" s="4" t="n">
        <f aca="false">COUNTIF('Job Openings'!B:B,B43)</f>
        <v>2</v>
      </c>
      <c r="F43" s="13" t="s">
        <v>23</v>
      </c>
      <c r="G43" s="13" t="s">
        <v>87</v>
      </c>
      <c r="H43" s="11" t="s">
        <v>254</v>
      </c>
      <c r="I43" s="11" t="s">
        <v>255</v>
      </c>
      <c r="J43" s="11" t="s">
        <v>256</v>
      </c>
      <c r="K43" s="12"/>
    </row>
    <row r="44" customFormat="false" ht="15" hidden="false" customHeight="false" outlineLevel="0" collapsed="false">
      <c r="A44" s="8" t="n">
        <v>43</v>
      </c>
      <c r="B44" s="9" t="s">
        <v>257</v>
      </c>
      <c r="C44" s="8" t="s">
        <v>13</v>
      </c>
      <c r="D44" s="8" t="s">
        <v>258</v>
      </c>
      <c r="E44" s="8" t="n">
        <f aca="false">COUNTIF('Job Openings'!B:B,B44)</f>
        <v>3</v>
      </c>
      <c r="F44" s="10" t="s">
        <v>259</v>
      </c>
      <c r="G44" s="10" t="s">
        <v>260</v>
      </c>
      <c r="H44" s="11" t="s">
        <v>261</v>
      </c>
      <c r="I44" s="11" t="s">
        <v>262</v>
      </c>
      <c r="J44" s="11" t="s">
        <v>263</v>
      </c>
      <c r="K44" s="12"/>
    </row>
    <row r="45" customFormat="false" ht="15" hidden="false" customHeight="false" outlineLevel="0" collapsed="false">
      <c r="A45" s="4" t="n">
        <v>44</v>
      </c>
      <c r="B45" s="6" t="s">
        <v>264</v>
      </c>
      <c r="C45" s="4" t="s">
        <v>13</v>
      </c>
      <c r="D45" s="4" t="s">
        <v>265</v>
      </c>
      <c r="E45" s="4" t="n">
        <f aca="false">COUNTIF('Job Openings'!B:B,B45)</f>
        <v>3</v>
      </c>
      <c r="F45" s="13" t="s">
        <v>259</v>
      </c>
      <c r="G45" s="13" t="s">
        <v>193</v>
      </c>
      <c r="H45" s="11" t="s">
        <v>266</v>
      </c>
      <c r="I45" s="11" t="s">
        <v>267</v>
      </c>
      <c r="J45" s="11" t="s">
        <v>268</v>
      </c>
      <c r="K45" s="12"/>
    </row>
    <row r="46" customFormat="false" ht="15" hidden="false" customHeight="false" outlineLevel="0" collapsed="false">
      <c r="A46" s="8" t="n">
        <v>45</v>
      </c>
      <c r="B46" s="9" t="s">
        <v>269</v>
      </c>
      <c r="C46" s="8" t="s">
        <v>13</v>
      </c>
      <c r="D46" s="8" t="s">
        <v>265</v>
      </c>
      <c r="E46" s="8" t="n">
        <f aca="false">COUNTIF('Job Openings'!B:B,B46)</f>
        <v>3</v>
      </c>
      <c r="F46" s="10" t="s">
        <v>270</v>
      </c>
      <c r="G46" s="10" t="s">
        <v>271</v>
      </c>
      <c r="H46" s="11" t="s">
        <v>272</v>
      </c>
      <c r="I46" s="11" t="s">
        <v>273</v>
      </c>
      <c r="J46" s="11" t="s">
        <v>274</v>
      </c>
      <c r="K46" s="12"/>
    </row>
    <row r="47" customFormat="false" ht="15" hidden="false" customHeight="false" outlineLevel="0" collapsed="false">
      <c r="A47" s="4" t="n">
        <v>46</v>
      </c>
      <c r="B47" s="6" t="s">
        <v>275</v>
      </c>
      <c r="C47" s="4" t="s">
        <v>13</v>
      </c>
      <c r="D47" s="4" t="s">
        <v>265</v>
      </c>
      <c r="E47" s="4" t="n">
        <f aca="false">COUNTIF('Job Openings'!B:B,B47)</f>
        <v>1</v>
      </c>
      <c r="F47" s="13" t="s">
        <v>23</v>
      </c>
      <c r="G47" s="13" t="s">
        <v>171</v>
      </c>
      <c r="H47" s="11" t="s">
        <v>276</v>
      </c>
      <c r="I47" s="11" t="s">
        <v>277</v>
      </c>
      <c r="J47" s="11" t="s">
        <v>278</v>
      </c>
      <c r="K47" s="12"/>
    </row>
    <row r="48" customFormat="false" ht="15" hidden="false" customHeight="false" outlineLevel="0" collapsed="false">
      <c r="A48" s="8" t="n">
        <v>47</v>
      </c>
      <c r="B48" s="9" t="s">
        <v>279</v>
      </c>
      <c r="C48" s="8" t="s">
        <v>13</v>
      </c>
      <c r="D48" s="8" t="s">
        <v>265</v>
      </c>
      <c r="E48" s="8" t="n">
        <f aca="false">COUNTIF('Job Openings'!B:B,B48)</f>
        <v>1</v>
      </c>
      <c r="F48" s="10" t="s">
        <v>23</v>
      </c>
      <c r="G48" s="10" t="s">
        <v>280</v>
      </c>
      <c r="H48" s="11" t="s">
        <v>281</v>
      </c>
      <c r="I48" s="11" t="s">
        <v>282</v>
      </c>
      <c r="J48" s="11" t="s">
        <v>283</v>
      </c>
      <c r="K48" s="12"/>
    </row>
    <row r="49" customFormat="false" ht="15" hidden="false" customHeight="false" outlineLevel="0" collapsed="false">
      <c r="A49" s="4" t="n">
        <v>48</v>
      </c>
      <c r="B49" s="6" t="s">
        <v>284</v>
      </c>
      <c r="C49" s="4" t="s">
        <v>13</v>
      </c>
      <c r="D49" s="4" t="s">
        <v>285</v>
      </c>
      <c r="E49" s="4" t="n">
        <f aca="false">COUNTIF('Job Openings'!B:B,B49)</f>
        <v>1</v>
      </c>
      <c r="F49" s="13" t="s">
        <v>23</v>
      </c>
      <c r="G49" s="13" t="s">
        <v>286</v>
      </c>
      <c r="H49" s="11" t="s">
        <v>287</v>
      </c>
      <c r="I49" s="11" t="s">
        <v>288</v>
      </c>
      <c r="J49" s="11" t="s">
        <v>289</v>
      </c>
      <c r="K49" s="12"/>
    </row>
    <row r="50" customFormat="false" ht="15" hidden="false" customHeight="false" outlineLevel="0" collapsed="false">
      <c r="A50" s="8" t="n">
        <v>49</v>
      </c>
      <c r="B50" s="9" t="s">
        <v>290</v>
      </c>
      <c r="C50" s="8" t="s">
        <v>13</v>
      </c>
      <c r="D50" s="8" t="s">
        <v>291</v>
      </c>
      <c r="E50" s="8" t="n">
        <f aca="false">COUNTIF('Job Openings'!B:B,B50)</f>
        <v>1</v>
      </c>
      <c r="F50" s="10" t="s">
        <v>23</v>
      </c>
      <c r="G50" s="10" t="s">
        <v>292</v>
      </c>
      <c r="H50" s="11" t="s">
        <v>293</v>
      </c>
      <c r="I50" s="11" t="s">
        <v>293</v>
      </c>
      <c r="J50" s="11" t="s">
        <v>294</v>
      </c>
      <c r="K50" s="12"/>
    </row>
    <row r="51" customFormat="false" ht="15" hidden="false" customHeight="false" outlineLevel="0" collapsed="false">
      <c r="A51" s="4" t="n">
        <v>50</v>
      </c>
      <c r="B51" s="6" t="s">
        <v>295</v>
      </c>
      <c r="C51" s="4" t="s">
        <v>13</v>
      </c>
      <c r="D51" s="4" t="s">
        <v>296</v>
      </c>
      <c r="E51" s="4" t="n">
        <f aca="false">COUNTIF('Job Openings'!B:B,B51)</f>
        <v>1</v>
      </c>
      <c r="F51" s="13" t="s">
        <v>23</v>
      </c>
      <c r="G51" s="13" t="s">
        <v>292</v>
      </c>
      <c r="H51" s="11" t="s">
        <v>297</v>
      </c>
      <c r="I51" s="11" t="s">
        <v>298</v>
      </c>
      <c r="J51" s="11" t="s">
        <v>299</v>
      </c>
      <c r="K51" s="12"/>
    </row>
    <row r="52" customFormat="false" ht="15" hidden="false" customHeight="false" outlineLevel="0" collapsed="false">
      <c r="A52" s="8" t="n">
        <v>51</v>
      </c>
      <c r="B52" s="9" t="s">
        <v>300</v>
      </c>
      <c r="C52" s="8" t="s">
        <v>13</v>
      </c>
      <c r="D52" s="8" t="s">
        <v>301</v>
      </c>
      <c r="E52" s="8" t="n">
        <f aca="false">COUNTIF('Job Openings'!B:B,B52)</f>
        <v>1</v>
      </c>
      <c r="F52" s="10" t="s">
        <v>23</v>
      </c>
      <c r="G52" s="10" t="s">
        <v>42</v>
      </c>
      <c r="H52" s="11" t="s">
        <v>302</v>
      </c>
      <c r="I52" s="11" t="s">
        <v>303</v>
      </c>
      <c r="J52" s="11" t="s">
        <v>304</v>
      </c>
      <c r="K52" s="12"/>
    </row>
    <row r="53" customFormat="false" ht="15" hidden="false" customHeight="false" outlineLevel="0" collapsed="false">
      <c r="A53" s="4" t="n">
        <v>52</v>
      </c>
      <c r="B53" s="6" t="s">
        <v>305</v>
      </c>
      <c r="C53" s="4" t="s">
        <v>13</v>
      </c>
      <c r="D53" s="4" t="s">
        <v>306</v>
      </c>
      <c r="E53" s="4" t="n">
        <f aca="false">COUNTIF('Job Openings'!B:B,B53)</f>
        <v>1</v>
      </c>
      <c r="F53" s="13" t="s">
        <v>24</v>
      </c>
      <c r="G53" s="13" t="s">
        <v>307</v>
      </c>
      <c r="H53" s="11" t="s">
        <v>308</v>
      </c>
      <c r="I53" s="11" t="s">
        <v>309</v>
      </c>
      <c r="J53" s="11" t="s">
        <v>310</v>
      </c>
      <c r="K53" s="12"/>
    </row>
    <row r="54" customFormat="false" ht="15" hidden="false" customHeight="false" outlineLevel="0" collapsed="false">
      <c r="A54" s="8" t="n">
        <v>53</v>
      </c>
      <c r="B54" s="9" t="s">
        <v>311</v>
      </c>
      <c r="C54" s="8" t="s">
        <v>13</v>
      </c>
      <c r="D54" s="8" t="s">
        <v>258</v>
      </c>
      <c r="E54" s="8" t="n">
        <f aca="false">COUNTIF('Job Openings'!B:B,B54)</f>
        <v>1</v>
      </c>
      <c r="F54" s="10" t="s">
        <v>24</v>
      </c>
      <c r="G54" s="10" t="s">
        <v>312</v>
      </c>
      <c r="H54" s="11" t="s">
        <v>313</v>
      </c>
      <c r="I54" s="11" t="s">
        <v>314</v>
      </c>
      <c r="J54" s="11" t="s">
        <v>315</v>
      </c>
      <c r="K54" s="12"/>
    </row>
    <row r="55" customFormat="false" ht="15" hidden="false" customHeight="false" outlineLevel="0" collapsed="false">
      <c r="A55" s="4" t="n">
        <v>54</v>
      </c>
      <c r="B55" s="6" t="s">
        <v>316</v>
      </c>
      <c r="C55" s="4" t="s">
        <v>13</v>
      </c>
      <c r="D55" s="4" t="s">
        <v>317</v>
      </c>
      <c r="E55" s="4" t="n">
        <f aca="false">COUNTIF('Job Openings'!B:B,B55)</f>
        <v>1</v>
      </c>
      <c r="F55" s="13" t="s">
        <v>23</v>
      </c>
      <c r="G55" s="13" t="s">
        <v>171</v>
      </c>
      <c r="H55" s="11" t="s">
        <v>318</v>
      </c>
      <c r="I55" s="11" t="s">
        <v>319</v>
      </c>
      <c r="J55" s="11" t="s">
        <v>320</v>
      </c>
      <c r="K55" s="12"/>
    </row>
    <row r="56" customFormat="false" ht="15" hidden="false" customHeight="false" outlineLevel="0" collapsed="false">
      <c r="A56" s="8" t="n">
        <v>55</v>
      </c>
      <c r="B56" s="9" t="s">
        <v>321</v>
      </c>
      <c r="C56" s="8" t="s">
        <v>13</v>
      </c>
      <c r="D56" s="8" t="s">
        <v>285</v>
      </c>
      <c r="E56" s="8" t="n">
        <f aca="false">COUNTIF('Job Openings'!B:B,B56)</f>
        <v>1</v>
      </c>
      <c r="F56" s="10" t="s">
        <v>23</v>
      </c>
      <c r="G56" s="10" t="s">
        <v>322</v>
      </c>
      <c r="H56" s="11" t="s">
        <v>323</v>
      </c>
      <c r="I56" s="11" t="s">
        <v>324</v>
      </c>
      <c r="J56" s="11" t="s">
        <v>325</v>
      </c>
      <c r="K56" s="12"/>
    </row>
    <row r="57" customFormat="false" ht="15" hidden="false" customHeight="false" outlineLevel="0" collapsed="false">
      <c r="A57" s="4" t="n">
        <v>56</v>
      </c>
      <c r="B57" s="6" t="s">
        <v>326</v>
      </c>
      <c r="C57" s="4" t="s">
        <v>17</v>
      </c>
      <c r="D57" s="4" t="s">
        <v>17</v>
      </c>
      <c r="E57" s="4" t="n">
        <f aca="false">COUNTIF('Job Openings'!B:B,B57)</f>
        <v>2</v>
      </c>
      <c r="F57" s="13" t="s">
        <v>25</v>
      </c>
      <c r="G57" s="13" t="s">
        <v>327</v>
      </c>
      <c r="H57" s="11" t="s">
        <v>328</v>
      </c>
      <c r="I57" s="11" t="s">
        <v>329</v>
      </c>
      <c r="J57" s="11" t="s">
        <v>330</v>
      </c>
      <c r="K57" s="12"/>
    </row>
    <row r="58" customFormat="false" ht="15" hidden="false" customHeight="false" outlineLevel="0" collapsed="false">
      <c r="A58" s="8" t="n">
        <v>57</v>
      </c>
      <c r="B58" s="9" t="s">
        <v>331</v>
      </c>
      <c r="C58" s="8" t="s">
        <v>17</v>
      </c>
      <c r="D58" s="8" t="s">
        <v>332</v>
      </c>
      <c r="E58" s="8" t="n">
        <f aca="false">COUNTIF('Job Openings'!B:B,B58)</f>
        <v>3</v>
      </c>
      <c r="F58" s="10" t="s">
        <v>53</v>
      </c>
      <c r="G58" s="10" t="s">
        <v>333</v>
      </c>
      <c r="H58" s="11" t="s">
        <v>334</v>
      </c>
      <c r="I58" s="11" t="s">
        <v>335</v>
      </c>
      <c r="J58" s="11" t="s">
        <v>336</v>
      </c>
      <c r="K58" s="12"/>
    </row>
    <row r="59" customFormat="false" ht="15" hidden="false" customHeight="false" outlineLevel="0" collapsed="false">
      <c r="A59" s="4" t="n">
        <v>58</v>
      </c>
      <c r="B59" s="6" t="s">
        <v>337</v>
      </c>
      <c r="C59" s="4" t="s">
        <v>17</v>
      </c>
      <c r="D59" s="4" t="s">
        <v>17</v>
      </c>
      <c r="E59" s="4" t="n">
        <f aca="false">COUNTIF('Job Openings'!B:B,B59)</f>
        <v>3</v>
      </c>
      <c r="F59" s="13" t="s">
        <v>338</v>
      </c>
      <c r="G59" s="13" t="s">
        <v>69</v>
      </c>
      <c r="H59" s="11" t="s">
        <v>339</v>
      </c>
      <c r="I59" s="11" t="s">
        <v>340</v>
      </c>
      <c r="J59" s="11" t="s">
        <v>341</v>
      </c>
      <c r="K59" s="12"/>
    </row>
    <row r="60" customFormat="false" ht="15" hidden="false" customHeight="false" outlineLevel="0" collapsed="false">
      <c r="A60" s="8" t="n">
        <v>59</v>
      </c>
      <c r="B60" s="9" t="s">
        <v>342</v>
      </c>
      <c r="C60" s="8" t="s">
        <v>17</v>
      </c>
      <c r="D60" s="8" t="s">
        <v>343</v>
      </c>
      <c r="E60" s="8" t="n">
        <f aca="false">COUNTIF('Job Openings'!B:B,B60)</f>
        <v>2</v>
      </c>
      <c r="F60" s="10" t="s">
        <v>25</v>
      </c>
      <c r="G60" s="10" t="s">
        <v>214</v>
      </c>
      <c r="H60" s="11" t="s">
        <v>344</v>
      </c>
      <c r="I60" s="11" t="s">
        <v>345</v>
      </c>
      <c r="J60" s="11" t="s">
        <v>346</v>
      </c>
      <c r="K60" s="12"/>
    </row>
    <row r="61" customFormat="false" ht="15" hidden="false" customHeight="false" outlineLevel="0" collapsed="false">
      <c r="A61" s="4" t="n">
        <v>60</v>
      </c>
      <c r="B61" s="6" t="s">
        <v>347</v>
      </c>
      <c r="C61" s="4" t="s">
        <v>17</v>
      </c>
      <c r="D61" s="4" t="s">
        <v>348</v>
      </c>
      <c r="E61" s="4" t="n">
        <f aca="false">COUNTIF('Job Openings'!B:B,B61)</f>
        <v>1</v>
      </c>
      <c r="F61" s="13" t="s">
        <v>25</v>
      </c>
      <c r="G61" s="13" t="s">
        <v>42</v>
      </c>
      <c r="H61" s="11" t="s">
        <v>349</v>
      </c>
      <c r="I61" s="11" t="s">
        <v>350</v>
      </c>
      <c r="J61" s="11" t="s">
        <v>351</v>
      </c>
      <c r="K61" s="12"/>
    </row>
    <row r="62" customFormat="false" ht="15" hidden="false" customHeight="false" outlineLevel="0" collapsed="false">
      <c r="A62" s="8" t="n">
        <v>61</v>
      </c>
      <c r="B62" s="9" t="s">
        <v>352</v>
      </c>
      <c r="C62" s="8" t="s">
        <v>14</v>
      </c>
      <c r="D62" s="8" t="s">
        <v>353</v>
      </c>
      <c r="E62" s="8" t="n">
        <f aca="false">COUNTIF('Job Openings'!B:B,B62)</f>
        <v>2</v>
      </c>
      <c r="F62" s="10" t="s">
        <v>25</v>
      </c>
      <c r="G62" s="10" t="s">
        <v>42</v>
      </c>
      <c r="H62" s="11" t="s">
        <v>354</v>
      </c>
      <c r="I62" s="11" t="s">
        <v>355</v>
      </c>
      <c r="J62" s="11" t="s">
        <v>355</v>
      </c>
      <c r="K62" s="12"/>
    </row>
    <row r="63" customFormat="false" ht="15" hidden="false" customHeight="false" outlineLevel="0" collapsed="false">
      <c r="A63" s="4" t="n">
        <v>62</v>
      </c>
      <c r="B63" s="6" t="s">
        <v>356</v>
      </c>
      <c r="C63" s="4" t="s">
        <v>14</v>
      </c>
      <c r="D63" s="4" t="s">
        <v>357</v>
      </c>
      <c r="E63" s="4" t="n">
        <f aca="false">COUNTIF('Job Openings'!B:B,B63)</f>
        <v>1</v>
      </c>
      <c r="F63" s="13" t="s">
        <v>25</v>
      </c>
      <c r="G63" s="13" t="s">
        <v>214</v>
      </c>
      <c r="H63" s="11" t="s">
        <v>358</v>
      </c>
      <c r="I63" s="11" t="s">
        <v>359</v>
      </c>
      <c r="J63" s="11" t="s">
        <v>360</v>
      </c>
      <c r="K63" s="12"/>
    </row>
    <row r="64" customFormat="false" ht="15" hidden="false" customHeight="false" outlineLevel="0" collapsed="false">
      <c r="A64" s="8" t="n">
        <v>63</v>
      </c>
      <c r="B64" s="9" t="s">
        <v>361</v>
      </c>
      <c r="C64" s="8" t="s">
        <v>13</v>
      </c>
      <c r="D64" s="8" t="s">
        <v>362</v>
      </c>
      <c r="E64" s="8" t="n">
        <f aca="false">COUNTIF('Job Openings'!B:B,B64)</f>
        <v>3</v>
      </c>
      <c r="F64" s="10" t="s">
        <v>259</v>
      </c>
      <c r="G64" s="10" t="s">
        <v>363</v>
      </c>
      <c r="H64" s="11" t="s">
        <v>364</v>
      </c>
      <c r="I64" s="11" t="s">
        <v>365</v>
      </c>
      <c r="J64" s="11" t="s">
        <v>366</v>
      </c>
      <c r="K64" s="12"/>
    </row>
    <row r="65" customFormat="false" ht="15" hidden="false" customHeight="false" outlineLevel="0" collapsed="false">
      <c r="A65" s="4" t="n">
        <v>64</v>
      </c>
      <c r="B65" s="6" t="s">
        <v>367</v>
      </c>
      <c r="C65" s="4" t="s">
        <v>13</v>
      </c>
      <c r="D65" s="4" t="s">
        <v>368</v>
      </c>
      <c r="E65" s="4" t="n">
        <f aca="false">COUNTIF('Job Openings'!B:B,B65)</f>
        <v>1</v>
      </c>
      <c r="F65" s="13" t="s">
        <v>24</v>
      </c>
      <c r="G65" s="13" t="s">
        <v>369</v>
      </c>
      <c r="H65" s="11" t="s">
        <v>370</v>
      </c>
      <c r="I65" s="11" t="s">
        <v>371</v>
      </c>
      <c r="J65" s="11" t="s">
        <v>372</v>
      </c>
      <c r="K65" s="12"/>
    </row>
    <row r="66" customFormat="false" ht="15" hidden="false" customHeight="false" outlineLevel="0" collapsed="false">
      <c r="A66" s="8" t="n">
        <v>65</v>
      </c>
      <c r="B66" s="9" t="s">
        <v>373</v>
      </c>
      <c r="C66" s="8" t="s">
        <v>13</v>
      </c>
      <c r="D66" s="8" t="s">
        <v>374</v>
      </c>
      <c r="E66" s="8" t="n">
        <f aca="false">COUNTIF('Job Openings'!B:B,B66)</f>
        <v>1</v>
      </c>
      <c r="F66" s="10" t="s">
        <v>24</v>
      </c>
      <c r="G66" s="10" t="s">
        <v>375</v>
      </c>
      <c r="H66" s="11" t="s">
        <v>376</v>
      </c>
      <c r="I66" s="11" t="s">
        <v>377</v>
      </c>
      <c r="J66" s="11" t="s">
        <v>378</v>
      </c>
      <c r="K66" s="12"/>
    </row>
    <row r="67" customFormat="false" ht="15" hidden="false" customHeight="false" outlineLevel="0" collapsed="false">
      <c r="A67" s="4" t="n">
        <v>66</v>
      </c>
      <c r="B67" s="6" t="s">
        <v>379</v>
      </c>
      <c r="C67" s="4" t="s">
        <v>15</v>
      </c>
      <c r="D67" s="4" t="s">
        <v>170</v>
      </c>
      <c r="E67" s="4" t="n">
        <f aca="false">COUNTIF('Job Openings'!B:B,B67)</f>
        <v>2</v>
      </c>
      <c r="F67" s="13" t="s">
        <v>25</v>
      </c>
      <c r="G67" s="13" t="s">
        <v>171</v>
      </c>
      <c r="H67" s="11" t="s">
        <v>380</v>
      </c>
      <c r="I67" s="11" t="s">
        <v>381</v>
      </c>
      <c r="J67" s="11" t="s">
        <v>382</v>
      </c>
      <c r="K67" s="12"/>
    </row>
    <row r="68" customFormat="false" ht="15" hidden="false" customHeight="false" outlineLevel="0" collapsed="false">
      <c r="A68" s="8" t="n">
        <v>67</v>
      </c>
      <c r="B68" s="9" t="s">
        <v>383</v>
      </c>
      <c r="C68" s="8" t="s">
        <v>15</v>
      </c>
      <c r="D68" s="8" t="s">
        <v>170</v>
      </c>
      <c r="E68" s="8" t="n">
        <f aca="false">COUNTIF('Job Openings'!B:B,B68)</f>
        <v>1</v>
      </c>
      <c r="F68" s="10" t="s">
        <v>27</v>
      </c>
      <c r="G68" s="10" t="s">
        <v>171</v>
      </c>
      <c r="H68" s="11" t="s">
        <v>384</v>
      </c>
      <c r="I68" s="11" t="s">
        <v>385</v>
      </c>
      <c r="J68" s="11" t="s">
        <v>386</v>
      </c>
      <c r="K68" s="12"/>
    </row>
    <row r="69" customFormat="false" ht="15" hidden="false" customHeight="false" outlineLevel="0" collapsed="false">
      <c r="A69" s="4" t="n">
        <v>68</v>
      </c>
      <c r="B69" s="6" t="s">
        <v>387</v>
      </c>
      <c r="C69" s="4" t="s">
        <v>14</v>
      </c>
      <c r="D69" s="4" t="s">
        <v>47</v>
      </c>
      <c r="E69" s="4" t="n">
        <f aca="false">COUNTIF('Job Openings'!B:B,B69)</f>
        <v>1</v>
      </c>
      <c r="F69" s="13" t="s">
        <v>25</v>
      </c>
      <c r="G69" s="13" t="s">
        <v>42</v>
      </c>
      <c r="H69" s="11" t="s">
        <v>388</v>
      </c>
      <c r="I69" s="11" t="s">
        <v>389</v>
      </c>
      <c r="J69" s="11" t="s">
        <v>390</v>
      </c>
      <c r="K69" s="12"/>
    </row>
    <row r="70" customFormat="false" ht="15" hidden="false" customHeight="false" outlineLevel="0" collapsed="false">
      <c r="A70" s="8" t="n">
        <v>69</v>
      </c>
      <c r="B70" s="9" t="s">
        <v>391</v>
      </c>
      <c r="C70" s="8" t="s">
        <v>14</v>
      </c>
      <c r="D70" s="8" t="s">
        <v>392</v>
      </c>
      <c r="E70" s="8" t="n">
        <f aca="false">COUNTIF('Job Openings'!B:B,B70)</f>
        <v>1</v>
      </c>
      <c r="F70" s="10" t="s">
        <v>25</v>
      </c>
      <c r="G70" s="10" t="s">
        <v>42</v>
      </c>
      <c r="H70" s="11" t="s">
        <v>393</v>
      </c>
      <c r="I70" s="11" t="s">
        <v>394</v>
      </c>
      <c r="J70" s="11" t="s">
        <v>395</v>
      </c>
      <c r="K70" s="12"/>
    </row>
    <row r="71" customFormat="false" ht="15" hidden="false" customHeight="false" outlineLevel="0" collapsed="false">
      <c r="A71" s="4" t="n">
        <v>70</v>
      </c>
      <c r="B71" s="6" t="s">
        <v>396</v>
      </c>
      <c r="C71" s="4" t="s">
        <v>14</v>
      </c>
      <c r="D71" s="4" t="s">
        <v>397</v>
      </c>
      <c r="E71" s="4" t="n">
        <f aca="false">COUNTIF('Job Openings'!B:B,B71)</f>
        <v>1</v>
      </c>
      <c r="F71" s="13" t="s">
        <v>25</v>
      </c>
      <c r="G71" s="13" t="s">
        <v>369</v>
      </c>
      <c r="H71" s="11" t="s">
        <v>398</v>
      </c>
      <c r="I71" s="11" t="s">
        <v>399</v>
      </c>
      <c r="J71" s="11" t="s">
        <v>400</v>
      </c>
      <c r="K71" s="12"/>
    </row>
    <row r="72" customFormat="false" ht="15" hidden="false" customHeight="false" outlineLevel="0" collapsed="false">
      <c r="A72" s="8" t="n">
        <v>71</v>
      </c>
      <c r="B72" s="9" t="s">
        <v>401</v>
      </c>
      <c r="C72" s="8" t="s">
        <v>15</v>
      </c>
      <c r="D72" s="8" t="s">
        <v>402</v>
      </c>
      <c r="E72" s="8" t="n">
        <f aca="false">COUNTIF('Job Openings'!B:B,B72)</f>
        <v>3</v>
      </c>
      <c r="F72" s="10" t="s">
        <v>48</v>
      </c>
      <c r="G72" s="10" t="s">
        <v>42</v>
      </c>
      <c r="H72" s="11" t="s">
        <v>403</v>
      </c>
      <c r="I72" s="11" t="s">
        <v>404</v>
      </c>
      <c r="J72" s="11" t="s">
        <v>405</v>
      </c>
      <c r="K72" s="12"/>
    </row>
    <row r="73" customFormat="false" ht="15" hidden="false" customHeight="false" outlineLevel="0" collapsed="false">
      <c r="A73" s="4" t="n">
        <v>72</v>
      </c>
      <c r="B73" s="6" t="s">
        <v>406</v>
      </c>
      <c r="C73" s="4" t="s">
        <v>15</v>
      </c>
      <c r="D73" s="4" t="s">
        <v>407</v>
      </c>
      <c r="E73" s="4" t="n">
        <f aca="false">COUNTIF('Job Openings'!B:B,B73)</f>
        <v>1</v>
      </c>
      <c r="F73" s="13" t="s">
        <v>25</v>
      </c>
      <c r="G73" s="13" t="s">
        <v>42</v>
      </c>
      <c r="H73" s="11" t="s">
        <v>408</v>
      </c>
      <c r="I73" s="11" t="s">
        <v>409</v>
      </c>
      <c r="J73" s="11" t="s">
        <v>410</v>
      </c>
      <c r="K73" s="12"/>
    </row>
    <row r="74" customFormat="false" ht="15" hidden="false" customHeight="false" outlineLevel="0" collapsed="false">
      <c r="A74" s="8" t="n">
        <v>73</v>
      </c>
      <c r="B74" s="9" t="s">
        <v>411</v>
      </c>
      <c r="C74" s="8" t="s">
        <v>15</v>
      </c>
      <c r="D74" s="8" t="s">
        <v>412</v>
      </c>
      <c r="E74" s="8" t="n">
        <f aca="false">COUNTIF('Job Openings'!B:B,B74)</f>
        <v>1</v>
      </c>
      <c r="F74" s="10" t="s">
        <v>27</v>
      </c>
      <c r="G74" s="10" t="s">
        <v>327</v>
      </c>
      <c r="H74" s="11" t="s">
        <v>413</v>
      </c>
      <c r="I74" s="11" t="s">
        <v>414</v>
      </c>
      <c r="J74" s="11" t="s">
        <v>414</v>
      </c>
      <c r="K74" s="12"/>
    </row>
    <row r="75" customFormat="false" ht="15" hidden="false" customHeight="false" outlineLevel="0" collapsed="false">
      <c r="A75" s="4" t="n">
        <v>74</v>
      </c>
      <c r="B75" s="6" t="s">
        <v>415</v>
      </c>
      <c r="C75" s="4" t="s">
        <v>15</v>
      </c>
      <c r="D75" s="4" t="s">
        <v>416</v>
      </c>
      <c r="E75" s="4" t="n">
        <f aca="false">COUNTIF('Job Openings'!B:B,B75)</f>
        <v>1</v>
      </c>
      <c r="F75" s="13" t="s">
        <v>25</v>
      </c>
      <c r="G75" s="13" t="s">
        <v>417</v>
      </c>
      <c r="H75" s="11" t="s">
        <v>418</v>
      </c>
      <c r="I75" s="11" t="s">
        <v>419</v>
      </c>
      <c r="J75" s="11" t="s">
        <v>420</v>
      </c>
      <c r="K75" s="12"/>
    </row>
    <row r="76" customFormat="false" ht="15" hidden="false" customHeight="false" outlineLevel="0" collapsed="false">
      <c r="A76" s="8" t="n">
        <v>75</v>
      </c>
      <c r="B76" s="9" t="s">
        <v>421</v>
      </c>
      <c r="C76" s="8" t="s">
        <v>15</v>
      </c>
      <c r="D76" s="8" t="s">
        <v>422</v>
      </c>
      <c r="E76" s="8" t="n">
        <f aca="false">COUNTIF('Job Openings'!B:B,B76)</f>
        <v>1</v>
      </c>
      <c r="F76" s="10" t="s">
        <v>24</v>
      </c>
      <c r="G76" s="10" t="s">
        <v>423</v>
      </c>
      <c r="H76" s="11" t="s">
        <v>424</v>
      </c>
      <c r="I76" s="11" t="s">
        <v>425</v>
      </c>
      <c r="J76" s="11" t="s">
        <v>426</v>
      </c>
      <c r="K76" s="12"/>
    </row>
    <row r="77" customFormat="false" ht="15" hidden="false" customHeight="false" outlineLevel="0" collapsed="false">
      <c r="A77" s="4" t="n">
        <v>76</v>
      </c>
      <c r="B77" s="6" t="s">
        <v>427</v>
      </c>
      <c r="C77" s="4" t="s">
        <v>19</v>
      </c>
      <c r="D77" s="4" t="s">
        <v>428</v>
      </c>
      <c r="E77" s="4" t="n">
        <f aca="false">COUNTIF('Job Openings'!B:B,B77)</f>
        <v>1</v>
      </c>
      <c r="F77" s="13" t="s">
        <v>25</v>
      </c>
      <c r="G77" s="13" t="s">
        <v>429</v>
      </c>
      <c r="H77" s="11" t="s">
        <v>430</v>
      </c>
      <c r="I77" s="11" t="s">
        <v>431</v>
      </c>
      <c r="J77" s="11" t="s">
        <v>432</v>
      </c>
      <c r="K77" s="12"/>
    </row>
    <row r="78" customFormat="false" ht="15" hidden="false" customHeight="false" outlineLevel="0" collapsed="false">
      <c r="A78" s="8" t="n">
        <v>77</v>
      </c>
      <c r="B78" s="9" t="s">
        <v>433</v>
      </c>
      <c r="C78" s="8" t="s">
        <v>19</v>
      </c>
      <c r="D78" s="8" t="s">
        <v>434</v>
      </c>
      <c r="E78" s="8" t="n">
        <f aca="false">COUNTIF('Job Openings'!B:B,B78)</f>
        <v>1</v>
      </c>
      <c r="F78" s="10" t="s">
        <v>25</v>
      </c>
      <c r="G78" s="10" t="s">
        <v>435</v>
      </c>
      <c r="H78" s="11" t="s">
        <v>436</v>
      </c>
      <c r="I78" s="11" t="s">
        <v>436</v>
      </c>
      <c r="J78" s="11" t="s">
        <v>437</v>
      </c>
      <c r="K78" s="12"/>
    </row>
    <row r="79" customFormat="false" ht="15" hidden="false" customHeight="false" outlineLevel="0" collapsed="false">
      <c r="A79" s="4" t="n">
        <v>78</v>
      </c>
      <c r="B79" s="6" t="s">
        <v>438</v>
      </c>
      <c r="C79" s="4" t="s">
        <v>19</v>
      </c>
      <c r="D79" s="4" t="s">
        <v>439</v>
      </c>
      <c r="E79" s="4" t="n">
        <f aca="false">COUNTIF('Job Openings'!B:B,B79)</f>
        <v>1</v>
      </c>
      <c r="F79" s="13" t="s">
        <v>26</v>
      </c>
      <c r="G79" s="13" t="s">
        <v>171</v>
      </c>
      <c r="H79" s="11" t="s">
        <v>440</v>
      </c>
      <c r="I79" s="11" t="s">
        <v>441</v>
      </c>
      <c r="J79" s="11" t="s">
        <v>442</v>
      </c>
      <c r="K79" s="12"/>
    </row>
    <row r="80" customFormat="false" ht="15" hidden="false" customHeight="false" outlineLevel="0" collapsed="false">
      <c r="A80" s="8" t="n">
        <v>79</v>
      </c>
      <c r="B80" s="9" t="s">
        <v>443</v>
      </c>
      <c r="C80" s="8" t="s">
        <v>16</v>
      </c>
      <c r="D80" s="8" t="s">
        <v>444</v>
      </c>
      <c r="E80" s="8" t="n">
        <f aca="false">COUNTIF('Job Openings'!B:B,B80)</f>
        <v>1</v>
      </c>
      <c r="F80" s="10" t="s">
        <v>25</v>
      </c>
      <c r="G80" s="10" t="s">
        <v>171</v>
      </c>
      <c r="H80" s="11" t="s">
        <v>445</v>
      </c>
      <c r="I80" s="11" t="s">
        <v>446</v>
      </c>
      <c r="J80" s="11" t="s">
        <v>447</v>
      </c>
      <c r="K80" s="12"/>
    </row>
    <row r="81" customFormat="false" ht="15" hidden="false" customHeight="false" outlineLevel="0" collapsed="false">
      <c r="A81" s="4" t="n">
        <v>80</v>
      </c>
      <c r="B81" s="6" t="s">
        <v>448</v>
      </c>
      <c r="C81" s="4" t="s">
        <v>15</v>
      </c>
      <c r="D81" s="4" t="s">
        <v>125</v>
      </c>
      <c r="E81" s="4" t="n">
        <f aca="false">COUNTIF('Job Openings'!B:B,B81)</f>
        <v>1</v>
      </c>
      <c r="F81" s="13" t="s">
        <v>25</v>
      </c>
      <c r="G81" s="13" t="s">
        <v>171</v>
      </c>
      <c r="H81" s="11" t="s">
        <v>449</v>
      </c>
      <c r="I81" s="11" t="s">
        <v>450</v>
      </c>
      <c r="J81" s="11" t="s">
        <v>451</v>
      </c>
      <c r="K81" s="12"/>
    </row>
    <row r="82" customFormat="false" ht="15" hidden="false" customHeight="false" outlineLevel="0" collapsed="false">
      <c r="A82" s="8" t="n">
        <v>81</v>
      </c>
      <c r="B82" s="9" t="s">
        <v>452</v>
      </c>
      <c r="C82" s="8" t="s">
        <v>14</v>
      </c>
      <c r="D82" s="8" t="s">
        <v>453</v>
      </c>
      <c r="E82" s="8" t="n">
        <f aca="false">COUNTIF('Job Openings'!B:B,B82)</f>
        <v>1</v>
      </c>
      <c r="F82" s="10" t="s">
        <v>25</v>
      </c>
      <c r="G82" s="10" t="s">
        <v>454</v>
      </c>
      <c r="H82" s="11" t="s">
        <v>455</v>
      </c>
      <c r="I82" s="11" t="s">
        <v>456</v>
      </c>
      <c r="J82" s="11" t="s">
        <v>456</v>
      </c>
      <c r="K82" s="12"/>
    </row>
    <row r="83" customFormat="false" ht="15" hidden="false" customHeight="false" outlineLevel="0" collapsed="false">
      <c r="A83" s="4" t="n">
        <v>82</v>
      </c>
      <c r="B83" s="6" t="s">
        <v>457</v>
      </c>
      <c r="C83" s="4" t="s">
        <v>14</v>
      </c>
      <c r="D83" s="4" t="s">
        <v>458</v>
      </c>
      <c r="E83" s="4" t="n">
        <f aca="false">COUNTIF('Job Openings'!B:B,B83)</f>
        <v>1</v>
      </c>
      <c r="F83" s="13" t="s">
        <v>25</v>
      </c>
      <c r="G83" s="13" t="s">
        <v>42</v>
      </c>
      <c r="H83" s="11" t="s">
        <v>459</v>
      </c>
      <c r="I83" s="11" t="s">
        <v>460</v>
      </c>
      <c r="J83" s="11" t="s">
        <v>460</v>
      </c>
      <c r="K83" s="12"/>
    </row>
    <row r="84" customFormat="false" ht="15" hidden="false" customHeight="false" outlineLevel="0" collapsed="false">
      <c r="A84" s="8" t="n">
        <v>83</v>
      </c>
      <c r="B84" s="9" t="s">
        <v>461</v>
      </c>
      <c r="C84" s="8" t="s">
        <v>14</v>
      </c>
      <c r="D84" s="8" t="s">
        <v>462</v>
      </c>
      <c r="E84" s="8" t="n">
        <f aca="false">COUNTIF('Job Openings'!B:B,B84)</f>
        <v>1</v>
      </c>
      <c r="F84" s="10" t="s">
        <v>27</v>
      </c>
      <c r="G84" s="10" t="s">
        <v>171</v>
      </c>
      <c r="H84" s="11" t="s">
        <v>463</v>
      </c>
      <c r="I84" s="11" t="s">
        <v>464</v>
      </c>
      <c r="J84" s="11" t="s">
        <v>465</v>
      </c>
      <c r="K84" s="12"/>
    </row>
    <row r="85" customFormat="false" ht="15" hidden="false" customHeight="false" outlineLevel="0" collapsed="false">
      <c r="A85" s="4" t="n">
        <v>84</v>
      </c>
      <c r="B85" s="6" t="s">
        <v>466</v>
      </c>
      <c r="C85" s="4" t="s">
        <v>14</v>
      </c>
      <c r="D85" s="4" t="s">
        <v>467</v>
      </c>
      <c r="E85" s="4" t="n">
        <f aca="false">COUNTIF('Job Openings'!B:B,B85)</f>
        <v>1</v>
      </c>
      <c r="F85" s="13" t="s">
        <v>25</v>
      </c>
      <c r="G85" s="13" t="s">
        <v>42</v>
      </c>
      <c r="H85" s="11" t="s">
        <v>468</v>
      </c>
      <c r="I85" s="11" t="s">
        <v>469</v>
      </c>
      <c r="J85" s="11" t="s">
        <v>470</v>
      </c>
      <c r="K85" s="12"/>
    </row>
    <row r="86" customFormat="false" ht="15" hidden="false" customHeight="false" outlineLevel="0" collapsed="false">
      <c r="A86" s="8" t="n">
        <v>85</v>
      </c>
      <c r="B86" s="9" t="s">
        <v>471</v>
      </c>
      <c r="C86" s="8" t="s">
        <v>19</v>
      </c>
      <c r="D86" s="8" t="s">
        <v>472</v>
      </c>
      <c r="E86" s="8" t="n">
        <f aca="false">COUNTIF('Job Openings'!B:B,B86)</f>
        <v>1</v>
      </c>
      <c r="F86" s="10" t="s">
        <v>25</v>
      </c>
      <c r="G86" s="10" t="s">
        <v>473</v>
      </c>
      <c r="H86" s="11" t="s">
        <v>474</v>
      </c>
      <c r="I86" s="11" t="s">
        <v>475</v>
      </c>
      <c r="J86" s="11" t="s">
        <v>475</v>
      </c>
      <c r="K86" s="12"/>
    </row>
    <row r="87" customFormat="false" ht="15" hidden="false" customHeight="false" outlineLevel="0" collapsed="false">
      <c r="A87" s="4" t="n">
        <v>86</v>
      </c>
      <c r="B87" s="6" t="s">
        <v>476</v>
      </c>
      <c r="C87" s="4" t="s">
        <v>19</v>
      </c>
      <c r="D87" s="4" t="s">
        <v>428</v>
      </c>
      <c r="E87" s="4" t="n">
        <f aca="false">COUNTIF('Job Openings'!B:B,B87)</f>
        <v>1</v>
      </c>
      <c r="F87" s="13" t="s">
        <v>25</v>
      </c>
      <c r="G87" s="13" t="s">
        <v>42</v>
      </c>
      <c r="H87" s="11" t="s">
        <v>477</v>
      </c>
      <c r="I87" s="11" t="s">
        <v>478</v>
      </c>
      <c r="J87" s="11" t="s">
        <v>479</v>
      </c>
      <c r="K87" s="12"/>
    </row>
    <row r="88" customFormat="false" ht="15" hidden="false" customHeight="false" outlineLevel="0" collapsed="false">
      <c r="A88" s="8" t="n">
        <v>87</v>
      </c>
      <c r="B88" s="9" t="s">
        <v>480</v>
      </c>
      <c r="C88" s="8" t="s">
        <v>19</v>
      </c>
      <c r="D88" s="8" t="s">
        <v>428</v>
      </c>
      <c r="E88" s="8" t="n">
        <f aca="false">COUNTIF('Job Openings'!B:B,B88)</f>
        <v>1</v>
      </c>
      <c r="F88" s="10" t="s">
        <v>25</v>
      </c>
      <c r="G88" s="10" t="s">
        <v>239</v>
      </c>
      <c r="H88" s="11" t="s">
        <v>481</v>
      </c>
      <c r="I88" s="11" t="s">
        <v>482</v>
      </c>
      <c r="J88" s="11" t="s">
        <v>483</v>
      </c>
      <c r="K88" s="12"/>
    </row>
    <row r="89" customFormat="false" ht="15" hidden="false" customHeight="false" outlineLevel="0" collapsed="false">
      <c r="A89" s="4" t="n">
        <v>88</v>
      </c>
      <c r="B89" s="6" t="s">
        <v>484</v>
      </c>
      <c r="C89" s="4" t="s">
        <v>13</v>
      </c>
      <c r="D89" s="4" t="s">
        <v>485</v>
      </c>
      <c r="E89" s="4" t="n">
        <f aca="false">COUNTIF('Job Openings'!B:B,B89)</f>
        <v>1</v>
      </c>
      <c r="F89" s="13" t="s">
        <v>23</v>
      </c>
      <c r="G89" s="13" t="s">
        <v>486</v>
      </c>
      <c r="H89" s="11" t="s">
        <v>487</v>
      </c>
      <c r="I89" s="11" t="s">
        <v>488</v>
      </c>
      <c r="J89" s="11" t="s">
        <v>489</v>
      </c>
      <c r="K89" s="12"/>
    </row>
    <row r="90" customFormat="false" ht="15" hidden="false" customHeight="false" outlineLevel="0" collapsed="false">
      <c r="A90" s="8" t="n">
        <v>89</v>
      </c>
      <c r="B90" s="9" t="s">
        <v>490</v>
      </c>
      <c r="C90" s="8" t="s">
        <v>14</v>
      </c>
      <c r="D90" s="8" t="s">
        <v>491</v>
      </c>
      <c r="E90" s="8" t="n">
        <f aca="false">COUNTIF('Job Openings'!B:B,B90)</f>
        <v>2</v>
      </c>
      <c r="F90" s="10" t="s">
        <v>53</v>
      </c>
      <c r="G90" s="10" t="s">
        <v>214</v>
      </c>
      <c r="H90" s="11" t="s">
        <v>492</v>
      </c>
      <c r="I90" s="11" t="s">
        <v>493</v>
      </c>
      <c r="J90" s="11" t="s">
        <v>494</v>
      </c>
      <c r="K90" s="12"/>
    </row>
    <row r="91" customFormat="false" ht="15" hidden="false" customHeight="false" outlineLevel="0" collapsed="false">
      <c r="A91" s="4" t="n">
        <v>90</v>
      </c>
      <c r="B91" s="6" t="s">
        <v>495</v>
      </c>
      <c r="C91" s="4" t="s">
        <v>15</v>
      </c>
      <c r="D91" s="4" t="s">
        <v>170</v>
      </c>
      <c r="E91" s="4" t="n">
        <f aca="false">COUNTIF('Job Openings'!B:B,B91)</f>
        <v>2</v>
      </c>
      <c r="F91" s="13" t="s">
        <v>25</v>
      </c>
      <c r="G91" s="13" t="s">
        <v>171</v>
      </c>
      <c r="H91" s="11" t="s">
        <v>496</v>
      </c>
      <c r="I91" s="11" t="s">
        <v>497</v>
      </c>
      <c r="J91" s="11" t="s">
        <v>497</v>
      </c>
      <c r="K91" s="12"/>
    </row>
    <row r="92" customFormat="false" ht="15" hidden="false" customHeight="false" outlineLevel="0" collapsed="false">
      <c r="A92" s="8" t="n">
        <v>91</v>
      </c>
      <c r="B92" s="9" t="s">
        <v>498</v>
      </c>
      <c r="C92" s="8" t="s">
        <v>15</v>
      </c>
      <c r="D92" s="8" t="s">
        <v>499</v>
      </c>
      <c r="E92" s="8" t="n">
        <f aca="false">COUNTIF('Job Openings'!B:B,B92)</f>
        <v>1</v>
      </c>
      <c r="F92" s="10" t="s">
        <v>25</v>
      </c>
      <c r="G92" s="10" t="s">
        <v>171</v>
      </c>
      <c r="H92" s="11" t="s">
        <v>500</v>
      </c>
      <c r="I92" s="11" t="s">
        <v>501</v>
      </c>
      <c r="J92" s="11" t="s">
        <v>502</v>
      </c>
      <c r="K92" s="12"/>
    </row>
    <row r="93" customFormat="false" ht="15" hidden="false" customHeight="false" outlineLevel="0" collapsed="false">
      <c r="A93" s="4" t="n">
        <v>92</v>
      </c>
      <c r="B93" s="6" t="s">
        <v>503</v>
      </c>
      <c r="C93" s="4" t="s">
        <v>14</v>
      </c>
      <c r="D93" s="4" t="s">
        <v>504</v>
      </c>
      <c r="E93" s="4" t="n">
        <f aca="false">COUNTIF('Job Openings'!B:B,B93)</f>
        <v>1</v>
      </c>
      <c r="F93" s="13" t="s">
        <v>25</v>
      </c>
      <c r="G93" s="13" t="s">
        <v>42</v>
      </c>
      <c r="H93" s="11" t="s">
        <v>505</v>
      </c>
      <c r="I93" s="11" t="s">
        <v>506</v>
      </c>
      <c r="J93" s="11" t="s">
        <v>506</v>
      </c>
      <c r="K93" s="12"/>
    </row>
    <row r="94" customFormat="false" ht="15" hidden="false" customHeight="false" outlineLevel="0" collapsed="false">
      <c r="A94" s="8" t="n">
        <v>93</v>
      </c>
      <c r="B94" s="9" t="s">
        <v>507</v>
      </c>
      <c r="C94" s="8" t="s">
        <v>14</v>
      </c>
      <c r="D94" s="8" t="s">
        <v>504</v>
      </c>
      <c r="E94" s="8" t="n">
        <f aca="false">COUNTIF('Job Openings'!B:B,B94)</f>
        <v>1</v>
      </c>
      <c r="F94" s="10" t="s">
        <v>25</v>
      </c>
      <c r="G94" s="10" t="s">
        <v>42</v>
      </c>
      <c r="H94" s="11" t="s">
        <v>508</v>
      </c>
      <c r="I94" s="11" t="s">
        <v>509</v>
      </c>
      <c r="J94" s="11" t="s">
        <v>509</v>
      </c>
      <c r="K94" s="12"/>
    </row>
    <row r="95" customFormat="false" ht="15" hidden="false" customHeight="false" outlineLevel="0" collapsed="false">
      <c r="A95" s="4" t="n">
        <v>94</v>
      </c>
      <c r="B95" s="6" t="s">
        <v>510</v>
      </c>
      <c r="C95" s="4" t="s">
        <v>14</v>
      </c>
      <c r="D95" s="4" t="s">
        <v>511</v>
      </c>
      <c r="E95" s="4" t="n">
        <f aca="false">COUNTIF('Job Openings'!B:B,B95)</f>
        <v>1</v>
      </c>
      <c r="F95" s="13" t="s">
        <v>25</v>
      </c>
      <c r="G95" s="13" t="s">
        <v>42</v>
      </c>
      <c r="H95" s="11" t="s">
        <v>512</v>
      </c>
      <c r="I95" s="11" t="s">
        <v>513</v>
      </c>
      <c r="J95" s="11" t="s">
        <v>513</v>
      </c>
      <c r="K95" s="12"/>
    </row>
    <row r="96" customFormat="false" ht="15" hidden="false" customHeight="false" outlineLevel="0" collapsed="false">
      <c r="A96" s="8" t="n">
        <v>95</v>
      </c>
      <c r="B96" s="9" t="s">
        <v>514</v>
      </c>
      <c r="C96" s="8" t="s">
        <v>13</v>
      </c>
      <c r="D96" s="8" t="s">
        <v>515</v>
      </c>
      <c r="E96" s="8" t="n">
        <f aca="false">COUNTIF('Job Openings'!B:B,B96)</f>
        <v>2</v>
      </c>
      <c r="F96" s="10" t="s">
        <v>24</v>
      </c>
      <c r="G96" s="10" t="s">
        <v>516</v>
      </c>
      <c r="H96" s="11" t="s">
        <v>517</v>
      </c>
      <c r="I96" s="11" t="s">
        <v>518</v>
      </c>
      <c r="J96" s="11" t="s">
        <v>519</v>
      </c>
      <c r="K96" s="12"/>
    </row>
    <row r="97" customFormat="false" ht="15" hidden="false" customHeight="false" outlineLevel="0" collapsed="false">
      <c r="A97" s="4" t="n">
        <v>96</v>
      </c>
      <c r="B97" s="6" t="s">
        <v>520</v>
      </c>
      <c r="C97" s="4" t="s">
        <v>13</v>
      </c>
      <c r="D97" s="4" t="s">
        <v>521</v>
      </c>
      <c r="E97" s="4" t="n">
        <f aca="false">COUNTIF('Job Openings'!B:B,B97)</f>
        <v>1</v>
      </c>
      <c r="F97" s="13" t="s">
        <v>24</v>
      </c>
      <c r="G97" s="13" t="s">
        <v>522</v>
      </c>
      <c r="H97" s="11" t="s">
        <v>523</v>
      </c>
      <c r="I97" s="11" t="s">
        <v>524</v>
      </c>
      <c r="J97" s="11" t="s">
        <v>525</v>
      </c>
      <c r="K97" s="12"/>
    </row>
    <row r="98" customFormat="false" ht="15" hidden="false" customHeight="false" outlineLevel="0" collapsed="false">
      <c r="A98" s="8" t="n">
        <v>97</v>
      </c>
      <c r="B98" s="9" t="s">
        <v>526</v>
      </c>
      <c r="C98" s="8" t="s">
        <v>14</v>
      </c>
      <c r="D98" s="8" t="s">
        <v>527</v>
      </c>
      <c r="E98" s="8" t="n">
        <f aca="false">COUNTIF('Job Openings'!B:B,B98)</f>
        <v>2</v>
      </c>
      <c r="F98" s="10" t="s">
        <v>25</v>
      </c>
      <c r="G98" s="10" t="s">
        <v>42</v>
      </c>
      <c r="H98" s="11" t="s">
        <v>528</v>
      </c>
      <c r="I98" s="11" t="s">
        <v>529</v>
      </c>
      <c r="J98" s="11" t="s">
        <v>529</v>
      </c>
      <c r="K98" s="12"/>
    </row>
    <row r="99" customFormat="false" ht="15" hidden="false" customHeight="false" outlineLevel="0" collapsed="false">
      <c r="A99" s="4" t="n">
        <v>98</v>
      </c>
      <c r="B99" s="6" t="s">
        <v>530</v>
      </c>
      <c r="C99" s="4" t="s">
        <v>17</v>
      </c>
      <c r="D99" s="4" t="s">
        <v>17</v>
      </c>
      <c r="E99" s="4" t="n">
        <f aca="false">COUNTIF('Job Openings'!B:B,B99)</f>
        <v>1</v>
      </c>
      <c r="F99" s="13" t="s">
        <v>25</v>
      </c>
      <c r="G99" s="13" t="s">
        <v>531</v>
      </c>
      <c r="H99" s="11" t="s">
        <v>532</v>
      </c>
      <c r="I99" s="11" t="s">
        <v>533</v>
      </c>
      <c r="J99" s="11" t="s">
        <v>534</v>
      </c>
      <c r="K99" s="12"/>
    </row>
    <row r="100" customFormat="false" ht="15" hidden="false" customHeight="false" outlineLevel="0" collapsed="false">
      <c r="A100" s="8" t="n">
        <v>99</v>
      </c>
      <c r="B100" s="9" t="s">
        <v>535</v>
      </c>
      <c r="C100" s="8" t="s">
        <v>19</v>
      </c>
      <c r="D100" s="8" t="s">
        <v>428</v>
      </c>
      <c r="E100" s="8" t="n">
        <f aca="false">COUNTIF('Job Openings'!B:B,B100)</f>
        <v>1</v>
      </c>
      <c r="F100" s="10" t="s">
        <v>25</v>
      </c>
      <c r="G100" s="10" t="s">
        <v>536</v>
      </c>
      <c r="H100" s="11" t="s">
        <v>537</v>
      </c>
      <c r="I100" s="11" t="s">
        <v>538</v>
      </c>
      <c r="J100" s="11" t="s">
        <v>539</v>
      </c>
      <c r="K100" s="12"/>
    </row>
    <row r="101" customFormat="false" ht="15" hidden="false" customHeight="false" outlineLevel="0" collapsed="false">
      <c r="A101" s="4" t="n">
        <v>100</v>
      </c>
      <c r="B101" s="6" t="s">
        <v>540</v>
      </c>
      <c r="C101" s="4" t="s">
        <v>13</v>
      </c>
      <c r="D101" s="4" t="s">
        <v>541</v>
      </c>
      <c r="E101" s="4" t="n">
        <f aca="false">COUNTIF('Job Openings'!B:B,B101)</f>
        <v>1</v>
      </c>
      <c r="F101" s="13" t="s">
        <v>24</v>
      </c>
      <c r="G101" s="13" t="s">
        <v>312</v>
      </c>
      <c r="H101" s="11" t="s">
        <v>542</v>
      </c>
      <c r="I101" s="11" t="s">
        <v>543</v>
      </c>
      <c r="J101" s="11" t="s">
        <v>544</v>
      </c>
      <c r="K101" s="12"/>
    </row>
    <row r="102" customFormat="false" ht="15" hidden="false" customHeight="false" outlineLevel="0" collapsed="false">
      <c r="A102" s="8" t="n">
        <v>101</v>
      </c>
      <c r="B102" s="9" t="s">
        <v>545</v>
      </c>
      <c r="C102" s="8" t="s">
        <v>14</v>
      </c>
      <c r="D102" s="8" t="s">
        <v>397</v>
      </c>
      <c r="E102" s="8" t="n">
        <f aca="false">COUNTIF('Job Openings'!B:B,B102)</f>
        <v>2</v>
      </c>
      <c r="F102" s="10" t="s">
        <v>25</v>
      </c>
      <c r="G102" s="10" t="s">
        <v>42</v>
      </c>
      <c r="H102" s="11" t="s">
        <v>546</v>
      </c>
      <c r="I102" s="11" t="s">
        <v>547</v>
      </c>
      <c r="J102" s="11" t="s">
        <v>547</v>
      </c>
      <c r="K102" s="12"/>
    </row>
    <row r="103" customFormat="false" ht="15" hidden="false" customHeight="false" outlineLevel="0" collapsed="false">
      <c r="A103" s="4" t="n">
        <v>102</v>
      </c>
      <c r="B103" s="6" t="s">
        <v>548</v>
      </c>
      <c r="C103" s="4" t="s">
        <v>14</v>
      </c>
      <c r="D103" s="4" t="s">
        <v>549</v>
      </c>
      <c r="E103" s="4" t="n">
        <f aca="false">COUNTIF('Job Openings'!B:B,B103)</f>
        <v>1</v>
      </c>
      <c r="F103" s="13" t="s">
        <v>25</v>
      </c>
      <c r="G103" s="13" t="s">
        <v>42</v>
      </c>
      <c r="H103" s="11" t="s">
        <v>550</v>
      </c>
      <c r="I103" s="11" t="s">
        <v>551</v>
      </c>
      <c r="J103" s="11" t="s">
        <v>552</v>
      </c>
      <c r="K103" s="12"/>
    </row>
  </sheetData>
  <autoFilter ref="A1:K103"/>
  <dataValidations count="1">
    <dataValidation allowBlank="true" errorStyle="stop" operator="between" showDropDown="false" showErrorMessage="false" showInputMessage="false" sqref="K2:K103" type="list">
      <formula1>"High,Medium,Low"</formula1>
      <formula2>0</formula2>
    </dataValidation>
  </dataValidations>
  <hyperlinks>
    <hyperlink ref="H2" r:id="rId1" display="https://in.linkedin.com/jobs/view/senior-product-manager-growth-at-razorpay-4416243265"/>
    <hyperlink ref="I2" r:id="rId2" display="https://razorpay.com/careers/"/>
    <hyperlink ref="J2" r:id="rId3" display="https://www.linkedin.com/jobs/search/?keywords=Razorpay&amp;location=India"/>
    <hyperlink ref="H3" r:id="rId4" display="https://in.linkedin.com/jobs/view/product-manager-at-phonepe-4397787803"/>
    <hyperlink ref="I3" r:id="rId5" display="https://www.phonepe.com/careers/job-openings/"/>
    <hyperlink ref="J3" r:id="rId6" display="https://www.linkedin.com/jobs/search/?keywords=PhonePe&amp;location=India"/>
    <hyperlink ref="H4" r:id="rId7" display="https://jobs.lever.co/paytm/64241793-684f-4dde-9447-36a14e499d4e"/>
    <hyperlink ref="I4" r:id="rId8" display="https://jobs.lever.co/paytm"/>
    <hyperlink ref="J4" r:id="rId9" display="https://www.linkedin.com/jobs/search/?keywords=Paytm&amp;location=India"/>
    <hyperlink ref="H5" r:id="rId10" display="https://careers.kula.ai/cashfree/18060-product-manager-2"/>
    <hyperlink ref="I5" r:id="rId11" display="https://careers.kula.ai/cashfree"/>
    <hyperlink ref="J5" r:id="rId12" display="https://www.linkedin.com/jobs/search/?keywords=Cashfree%20Payments&amp;location=India"/>
    <hyperlink ref="H6" r:id="rId13" display="https://www.instahyre.com/job-74182-product-manager-apm-at-juspay-bangalore/"/>
    <hyperlink ref="I6" r:id="rId14" display="https://in.linkedin.com/jobs/juspay-jobs"/>
    <hyperlink ref="J6" r:id="rId15" display="https://www.linkedin.com/jobs/search/?keywords=Juspay&amp;location=India"/>
    <hyperlink ref="H7" r:id="rId16" display="https://careers.payu.in/PayU/job/Bengaluru-Product-Manager-Merchant-Management/3966280/"/>
    <hyperlink ref="I7" r:id="rId17" display="https://in.linkedin.com/jobs/payu-jobs"/>
    <hyperlink ref="J7" r:id="rId18" display="https://www.linkedin.com/jobs/search/?keywords=PayU%20India&amp;location=India"/>
    <hyperlink ref="H8" r:id="rId19" display="https://www.instahyre.com/job-131077-product-manager-senior-product-manager-at-pine-labs-2-bangalore-noida/"/>
    <hyperlink ref="I8" r:id="rId20" display="https://www.pinelabs.com/careers/open-jobs"/>
    <hyperlink ref="J8" r:id="rId21" display="https://www.linkedin.com/jobs/search/?keywords=Pine%20Labs&amp;location=India"/>
    <hyperlink ref="H9" r:id="rId22" display="https://jobs.insightpartners.com/companies/bharatpe-2/jobs/79697323-senior-product-manager"/>
    <hyperlink ref="I9" r:id="rId23" display="https://in.linkedin.com/company/bharatpe/jobs"/>
    <hyperlink ref="J9" r:id="rId24" display="https://www.linkedin.com/jobs/search/?keywords=BharatPe&amp;location=India"/>
    <hyperlink ref="H10" r:id="rId25" display="https://www.instahyre.com/job-116220-product-manager-at-mobikwik-2-gurgaon/"/>
    <hyperlink ref="I10" r:id="rId26" display="https://www.mobikwik.com/careers"/>
    <hyperlink ref="J10" r:id="rId27" display="https://www.linkedin.com/jobs/search/?keywords=MobiKwik&amp;location=India"/>
    <hyperlink ref="H11" r:id="rId28" display="https://startup.jobs/product-manager-growth-cred_club-3005748"/>
    <hyperlink ref="I11" r:id="rId29" display="https://careers.cred.club/openings"/>
    <hyperlink ref="J11" r:id="rId30" display="https://www.linkedin.com/jobs/search/?keywords=CRED&amp;location=India"/>
    <hyperlink ref="H12" r:id="rId31" display="https://jobs.lever.co/zeta/8623c195-f912-4d87-952f-7114cd258413"/>
    <hyperlink ref="I12" r:id="rId32" display="https://jobs.lever.co/zeta"/>
    <hyperlink ref="J12" r:id="rId33" display="https://www.linkedin.com/jobs/search/?keywords=Zeta&amp;location=India"/>
    <hyperlink ref="H13" r:id="rId34" display="https://www.iimjobs.com/j/m-2-p-fintech-product-manager-3-6-yrs-1420797"/>
    <hyperlink ref="I13" r:id="rId35" display="https://careers.m2pfintech.com/"/>
    <hyperlink ref="J13" r:id="rId36" display="https://www.linkedin.com/jobs/search/?keywords=M2P%20Fintech&amp;location=India"/>
    <hyperlink ref="H14" r:id="rId37" display="https://www.npci.org.in/work-with-us/current-openings"/>
    <hyperlink ref="I14" r:id="rId38" display="https://www.npci.org.in/work-with-us/current-openings"/>
    <hyperlink ref="J14" r:id="rId39" display="https://www.linkedin.com/jobs/search/?keywords=NPCI&amp;location=India"/>
    <hyperlink ref="H15" r:id="rId40" display="https://www.google.com/about/careers/applications/jobs/results/130049272241365702-strategic-partnerships-development-manager/"/>
    <hyperlink ref="I15" r:id="rId41" display="https://www.google.com/about/careers/applications/jobs/results/?location=India&amp;q=Google%20Pay"/>
    <hyperlink ref="J15" r:id="rId42" display="https://www.linkedin.com/jobs/search/?keywords=Google&amp;location=India"/>
    <hyperlink ref="H16" r:id="rId43" display="https://www.amazon.jobs/en/jobs/10439650/product-manager-amazon-pay-core-payments-acceptance"/>
    <hyperlink ref="I16" r:id="rId44" display="https://www.amazon.jobs/en/search?base_query=amazon+pay&amp;loc_query=India"/>
    <hyperlink ref="J16" r:id="rId45" display="https://www.linkedin.com/jobs/search/?keywords=Amazon%20Pay%20India&amp;location=India"/>
    <hyperlink ref="H17" r:id="rId46" display="https://www.iimjobs.com/j/airtel-payments-bank-product-manager-payments-1269762"/>
    <hyperlink ref="I17" r:id="rId47" display="https://www.naukri.com/airtel-payments-bank-jobs-in-gurgaon-gurugram"/>
    <hyperlink ref="J17" r:id="rId48" display="https://www.linkedin.com/jobs/search/?keywords=Airtel%20Payments%20Bank&amp;location=India"/>
    <hyperlink ref="H18" r:id="rId49" display="https://www.jobaaj.com/job/fin-financial-services-product-manager-upi-acquisition-jio-payments-bank-navi-mumbai-maharashtra-0-to-1-years-777846"/>
    <hyperlink ref="I18" r:id="rId50" display="https://in.linkedin.com/company/jiofinser/jobs"/>
    <hyperlink ref="J18" r:id="rId51" display="https://www.linkedin.com/jobs/search/?keywords=Jio%20Financial%20Services&amp;location=India"/>
    <hyperlink ref="H19" r:id="rId52" display="https://visa.wd5.myworkdayjobs.com/Visa/job/IN---Bengaluru-India/Product-Manager_REF084709W"/>
    <hyperlink ref="I19" r:id="rId53" display="https://in.linkedin.com/jobs/visa-inc-jobs"/>
    <hyperlink ref="J19" r:id="rId54" display="https://www.linkedin.com/jobs/search/?keywords=Visa&amp;location=India"/>
    <hyperlink ref="H20" r:id="rId55" display="https://careers.mastercard.com/us/en/job/R-273100/Managing-Consultant-Advisors-Consulting-Services-Strategy-Transformation"/>
    <hyperlink ref="I20" r:id="rId56" display="https://careers.mastercard.com/us/en/c/consulting-jobs"/>
    <hyperlink ref="J20" r:id="rId57" display="https://www.linkedin.com/jobs/search/?keywords=Mastercard&amp;location=India"/>
    <hyperlink ref="H21" r:id="rId58" display="https://careers.americanexpress.com/en/sites/CX_1/job/26009305/"/>
    <hyperlink ref="I21" r:id="rId59" display="https://jobs.americanexpress.com/india/jobs"/>
    <hyperlink ref="J21" r:id="rId60" display="https://www.linkedin.com/jobs/search/?keywords=American%20Express&amp;location=India"/>
    <hyperlink ref="H22" r:id="rId61" display="https://builtin.com/job/lead-product-manager/7204079"/>
    <hyperlink ref="I22" r:id="rId62" display="https://careers.pypl.com/categories/product-management/"/>
    <hyperlink ref="J22" r:id="rId63" display="https://www.linkedin.com/jobs/search/?keywords=PayPal&amp;location=India"/>
    <hyperlink ref="H23" r:id="rId64" display="https://stripe.com/careers/listing/product-manager-e-invoicing/8041655"/>
    <hyperlink ref="I23" r:id="rId65" display="https://www.bayt.com/en/india/jobs/stripe-jobs-in-bengaluru/"/>
    <hyperlink ref="J23" r:id="rId66" display="https://www.linkedin.com/jobs/search/?keywords=Stripe&amp;location=India"/>
    <hyperlink ref="H24" r:id="rId67" display="https://careers.adyen.com/locations/bengaluru"/>
    <hyperlink ref="I24" r:id="rId68" display="https://careers.adyen.com/vacancies"/>
    <hyperlink ref="J24" r:id="rId69" display="https://www.linkedin.com/jobs/search/?keywords=Adyen&amp;location=India"/>
    <hyperlink ref="H25" r:id="rId70" display="https://in.linkedin.com/jobs/hdfc-bank-product-management-jobs"/>
    <hyperlink ref="I25" r:id="rId71" display="https://www.hdfcbank.com/personal/about-us/careers"/>
    <hyperlink ref="J25" r:id="rId72" display="https://www.linkedin.com/jobs/search/?keywords=HDFC%20Bank&amp;location=India"/>
    <hyperlink ref="H26" r:id="rId73" display="https://www.iimjobs.com/j/icici-bank-product-manager-cards-iim-mdi-isb-fms-1-10-yrs-879114"/>
    <hyperlink ref="I26" r:id="rId74" display="https://www.linkedin.com/jobs/search/?keywords=ICICI%20Bank&amp;location=India"/>
    <hyperlink ref="J26" r:id="rId75" display="https://www.linkedin.com/jobs/search/?keywords=ICICI%20Bank&amp;location=India"/>
    <hyperlink ref="H27" r:id="rId76" display="https://www.iimjobs.com/j/axis-bank-product-manager-payments-products-3-12-yrs-863888"/>
    <hyperlink ref="I27" r:id="rId77" display="https://www.axisbank.com/careers-new"/>
    <hyperlink ref="J27" r:id="rId78" display="https://www.linkedin.com/jobs/search/?keywords=Axis%20Bank&amp;location=India"/>
    <hyperlink ref="H28" r:id="rId79" display="https://www.livelaw.in/job-updates/product-manager-vacancy-at-kotak-mahindra-bank-limited-536900"/>
    <hyperlink ref="I28" r:id="rId80" display="https://www.linkedin.com/company/kotak-mahindra-bank"/>
    <hyperlink ref="J28" r:id="rId81" display="https://www.linkedin.com/jobs/search/?keywords=Kotak%20Mahindra%20Bank&amp;location=India"/>
    <hyperlink ref="H29" r:id="rId82" display="https://in.linkedin.com/jobs/view/product-manager-gurgaon-at-sbi-cards-and-payment-services-private-limited-202611397"/>
    <hyperlink ref="I29" r:id="rId83" display="https://in.linkedin.com/jobs/sbi-card-jobs-gurugram"/>
    <hyperlink ref="J29" r:id="rId84" display="https://www.linkedin.com/jobs/search/?keywords=SBI%20Card&amp;location=India"/>
    <hyperlink ref="H30" r:id="rId85" display="https://www.themuse.com/jobs/jpmorganchase/india-trade-product-manager-payments-executive-director"/>
    <hyperlink ref="I30" r:id="rId86" display="https://in.linkedin.com/jobs/jpmorgan-chase-jobs"/>
    <hyperlink ref="J30" r:id="rId87" display="https://www.linkedin.com/jobs/search/?keywords=JPMorgan%20Chase&amp;location=India"/>
    <hyperlink ref="H31" r:id="rId88" display="https://www.themuse.com/jobs/bankofamerica/upto-director-trade-product-manager-global-payments-solutions-india"/>
    <hyperlink ref="I31" r:id="rId89" display="https://www.linkedin.com/jobs/search/?keywords=Bank%20of%20America&amp;location=India"/>
    <hyperlink ref="J31" r:id="rId90" display="https://www.linkedin.com/jobs/search/?keywords=Bank%20of%20America&amp;location=India"/>
    <hyperlink ref="H32" r:id="rId91" display="https://jobs.citi.com/job/mumbai/services-full-time-analyst-india-2026/287/89151139152"/>
    <hyperlink ref="I32" r:id="rId92" display="https://jobs.citi.com/pune"/>
    <hyperlink ref="J32" r:id="rId93" display="https://www.linkedin.com/jobs/search/?keywords=Citi&amp;location=India"/>
    <hyperlink ref="H33" r:id="rId94" display="https://portal.careers.hsbc.com/careers?location=India"/>
    <hyperlink ref="I33" r:id="rId95" display="https://portal.careers.hsbc.com/careers?location=India"/>
    <hyperlink ref="J33" r:id="rId96" display="https://www.linkedin.com/jobs/search/?keywords=HSBC&amp;location=India"/>
    <hyperlink ref="H34" r:id="rId97" display="https://www.sc.com/en/global-careers/experienced-hire/spotlight-career-opportunities/careers-in-india/"/>
    <hyperlink ref="I34" r:id="rId98" display="https://in.linkedin.com/jobs/standard-chartered-bank-jobs-bengaluru"/>
    <hyperlink ref="J34" r:id="rId99" display="https://www.linkedin.com/jobs/search/?keywords=Standard%20Chartered&amp;location=India"/>
    <hyperlink ref="H35" r:id="rId100" display="https://search.jobs.barclays/job/pune/transaction-banking-product-manager-payments-and-foreign-exchange-vp/13015/82655573792"/>
    <hyperlink ref="I35" r:id="rId101" display="https://search.jobs.barclays/location/pune-maharashtra-india-jobs/13015/1269750-1264418-1259229/4"/>
    <hyperlink ref="J35" r:id="rId102" display="https://www.linkedin.com/jobs/search/?keywords=Barclays&amp;location=India"/>
    <hyperlink ref="H36" r:id="rId103" display="https://builtin.com/job/product-management/4458908"/>
    <hyperlink ref="I36" r:id="rId104" display="https://careers.db.com/explore-the-bank/locations/asia-pacific/pune"/>
    <hyperlink ref="J36" r:id="rId105" display="https://www.linkedin.com/jobs/search/?keywords=Deutsche%20Bank&amp;location=India"/>
    <hyperlink ref="H37" r:id="rId106" display="https://careers.fiserv.com/us/en/job/FFFYJUSR10391581EXTERNALENUS/B2B-Product-Manager-Senior-Product-Manager"/>
    <hyperlink ref="I37" r:id="rId107" display="https://careers.fiserv.com/us/en"/>
    <hyperlink ref="J37" r:id="rId108" display="https://www.linkedin.com/jobs/search/?keywords=Fiserv&amp;location=India"/>
    <hyperlink ref="H38" r:id="rId109" display="https://builtin.com/job/technology-business-consultant-specialist-cards-and-payments-domain/4056670"/>
    <hyperlink ref="I38" r:id="rId110" display="https://careers.fisglobal.com/us/en"/>
    <hyperlink ref="J38" r:id="rId111" display="https://www.linkedin.com/jobs/search/?keywords=FIS&amp;location=India"/>
    <hyperlink ref="H39" r:id="rId112" display="https://www.ziprecruiter.in/jobs/538586594-product-manager-at-worldline-global-services"/>
    <hyperlink ref="I39" r:id="rId113" display="https://worldline.com/en-in/home/top-navigation/career"/>
    <hyperlink ref="J39" r:id="rId114" display="https://www.linkedin.com/jobs/search/?keywords=Worldline%20India&amp;location=India"/>
    <hyperlink ref="H40" r:id="rId115" display="https://in.linkedin.com/jobs/aci-worldwide-jobs"/>
    <hyperlink ref="I40" r:id="rId116" display="https://www.aciworldwide.com/about-aci/careers"/>
    <hyperlink ref="J40" r:id="rId117" display="https://www.linkedin.com/jobs/search/?keywords=ACI%20Worldwide&amp;location=India"/>
    <hyperlink ref="H41" r:id="rId118" display="https://mckinsey.com/careers/search-jobs/jobs/capabilitiesandinsightsanalyst-panoramafinancialinstitutionscenter-97040"/>
    <hyperlink ref="I41" r:id="rId119" display="https://www.mckinsey.com/in/careers-in-india"/>
    <hyperlink ref="J41" r:id="rId120" display="https://www.linkedin.com/jobs/search/?keywords=McKinsey%20%26%20Company&amp;location=India"/>
    <hyperlink ref="H42" r:id="rId121" display="https://careers.bcg.com/global/en/locations/india"/>
    <hyperlink ref="I42" r:id="rId122" display="https://careers.bcg.com/global/en/locations/india"/>
    <hyperlink ref="J42" r:id="rId123" display="https://www.linkedin.com/jobs/search/?keywords=Boston%20Consulting%20Group&amp;location=India"/>
    <hyperlink ref="H43" r:id="rId124" display="https://www.bain.com/careers/find-a-role/position/?jobid=102140"/>
    <hyperlink ref="I43" r:id="rId125" display="https://www.bain.com/careers/"/>
    <hyperlink ref="J43" r:id="rId126" display="https://www.linkedin.com/jobs/search/?keywords=Bain%20%26%20Company&amp;location=India"/>
    <hyperlink ref="H44" r:id="rId127" display="https://www.accenture.com/us-en/careers/jobdetails?id=R00284179_en"/>
    <hyperlink ref="I44" r:id="rId128" display="https://www.accenture.com/in-en/careers/explore-careers/area-of-interest/strategy-careers"/>
    <hyperlink ref="J44" r:id="rId129" display="https://www.linkedin.com/jobs/search/?keywords=Accenture%20Strategy%20%26%20Consulting&amp;location=India"/>
    <hyperlink ref="H45" r:id="rId130" display="https://southasiacareers.deloitte.com/job/Bengaluru-Consultant-Financial-Services-Mumbai-Customer-Strategy-&amp;-Design/54711044"/>
    <hyperlink ref="I45" r:id="rId131" display="https://southasiacareers.deloitte.com/"/>
    <hyperlink ref="J45" r:id="rId132" display="https://www.linkedin.com/jobs/search/?keywords=Deloitte%20India&amp;location=India"/>
    <hyperlink ref="H46" r:id="rId133" display="https://careers.ey.com/ey/job/Mumbai-Senior-Consultant-Business-Consulting-PI-FS-CNS-BC-Marketing-Sales-&amp;-Service-Bangalore-MH-400028/1366215433/"/>
    <hyperlink ref="I46" r:id="rId134" display="https://www.ey.com/en_in/careers/consulting"/>
    <hyperlink ref="J46" r:id="rId135" display="https://www.linkedin.com/jobs/search/?keywords=EY%20India&amp;location=India"/>
    <hyperlink ref="H47" r:id="rId136" display="https://bebee.com/in/jobs/in-associate-fs-consulting-financial-services-advisory-mumbai-pwc-india-mumbai-city--fj-2137359807"/>
    <hyperlink ref="I47" r:id="rId137" display="https://www.pwc.in/careers/job-search.html"/>
    <hyperlink ref="J47" r:id="rId138" display="https://www.linkedin.com/jobs/search/?keywords=PwC%20India&amp;location=India"/>
    <hyperlink ref="H48" r:id="rId139" display="https://www.foundit.in/search/kpmg-jobs-in-gurgaon-gurugram"/>
    <hyperlink ref="I48" r:id="rId140" display="https://kpmg.com/in/en/careers.html"/>
    <hyperlink ref="J48" r:id="rId141" display="https://www.linkedin.com/jobs/search/?keywords=KPMG%20India&amp;location=India"/>
    <hyperlink ref="H49" r:id="rId142" display="https://www.kearney.com/about/locations/india/careers"/>
    <hyperlink ref="I49" r:id="rId143" display="https://www.kearney.com/careers/opportunities"/>
    <hyperlink ref="J49" r:id="rId144" display="https://www.linkedin.com/jobs/search/?keywords=Kearney&amp;location=India"/>
    <hyperlink ref="H50" r:id="rId145" display="https://www.oliverwyman.com/careers.html"/>
    <hyperlink ref="I50" r:id="rId146" display="https://www.oliverwyman.com/careers.html"/>
    <hyperlink ref="J50" r:id="rId147" display="https://www.linkedin.com/jobs/search/?keywords=Oliver%20Wyman&amp;location=India"/>
    <hyperlink ref="H51" r:id="rId148" display="https://www.simon-kucher.com/en/careers"/>
    <hyperlink ref="I51" r:id="rId149" display="https://www.simon-kucher.com/en/country/india"/>
    <hyperlink ref="J51" r:id="rId150" display="https://www.linkedin.com/jobs/search/?keywords=Simon-Kucher&amp;location=India"/>
    <hyperlink ref="H52" r:id="rId151" display="https://www.naukri.com/redseer-consulting-jobs-careers-703413"/>
    <hyperlink ref="I52" r:id="rId152" display="https://in.linkedin.com/company/redseer"/>
    <hyperlink ref="J52" r:id="rId153" display="https://www.linkedin.com/jobs/search/?keywords=Redseer%20Strategy%20Consultants&amp;location=India"/>
    <hyperlink ref="H53" r:id="rId154" display="https://www.grantthornton.in/current-opportunities/"/>
    <hyperlink ref="I53" r:id="rId155" display="https://www.grantthornton.in/services/consulting/business-consulting/financial-services-consulting/"/>
    <hyperlink ref="J53" r:id="rId156" display="https://www.linkedin.com/jobs/search/?keywords=Grant%20Thornton%20Bharat&amp;location=India"/>
    <hyperlink ref="H54" r:id="rId157" display="https://www.capgemini.com/in-en/careers/"/>
    <hyperlink ref="I54" r:id="rId158" display="https://in.linkedin.com/company/capgemini/jobs"/>
    <hyperlink ref="J54" r:id="rId159" display="https://www.linkedin.com/jobs/search/?keywords=Capgemini%20Invent&amp;location=India"/>
    <hyperlink ref="H55" r:id="rId160" display="https://bebee.com/in/jobs/praxis-global-alliance-consultant-praxis-global-alliance-mumbai-maharashtra--t7xk-780504220"/>
    <hyperlink ref="I55" r:id="rId161" display="https://www.praxisga.com/career"/>
    <hyperlink ref="J55" r:id="rId162" display="https://www.linkedin.com/jobs/search/?keywords=Praxis%20Global%20Alliance&amp;location=India"/>
    <hyperlink ref="H56" r:id="rId163" display="https://www.rolandberger.com/en/Join/All-Jobs/"/>
    <hyperlink ref="I56" r:id="rId164" display="https://www.rolandberger.com/en/India/"/>
    <hyperlink ref="J56" r:id="rId165" display="https://www.linkedin.com/jobs/search/?keywords=Roland%20Berger&amp;location=India"/>
    <hyperlink ref="H57" r:id="rId166" display="https://wise.jobs/job/product-lead-india-in-hyderabad-jid-1795"/>
    <hyperlink ref="I57" r:id="rId167" display="https://wise.jobs/posts/tags/hyderabad"/>
    <hyperlink ref="J57" r:id="rId168" display="https://www.linkedin.com/jobs/search/?keywords=Wise&amp;location=India"/>
    <hyperlink ref="H58" r:id="rId169" display="https://www.instahyre.com/job-197944-principal-product-manager-at-nium-bangalore-chennai-mumbai/"/>
    <hyperlink ref="I58" r:id="rId170" display="https://www.nium.com/careers"/>
    <hyperlink ref="J58" r:id="rId171" display="https://www.linkedin.com/jobs/search/?keywords=Nium&amp;location=India"/>
    <hyperlink ref="H59" r:id="rId172" display="https://startup.jobs/program-growth-manager-payoneer-2-8053174"/>
    <hyperlink ref="I59" r:id="rId173" display="https://careers.payoneer.com/"/>
    <hyperlink ref="J59" r:id="rId174" display="https://www.linkedin.com/jobs/search/?keywords=Payoneer&amp;location=India"/>
    <hyperlink ref="H60" r:id="rId175" display="https://careers.westernunion.com/job-details/13699957/manager-product-delivery-pune-in/"/>
    <hyperlink ref="I60" r:id="rId176" display="https://careers.westernunion.com/india/"/>
    <hyperlink ref="J60" r:id="rId177" display="https://www.linkedin.com/jobs/search/?keywords=Western%20Union&amp;location=India"/>
    <hyperlink ref="H61" r:id="rId178" display="https://www.glassdoor.co.in/Jobs/Airwallex-Jobs-E1831889.htm"/>
    <hyperlink ref="I61" r:id="rId179" display="https://careers.airwallex.com/jobs/"/>
    <hyperlink ref="J61" r:id="rId180" display="https://www.linkedin.com/jobs/search/?keywords=Airwallex&amp;location=India"/>
    <hyperlink ref="H62" r:id="rId181" display="https://www.instahyre.com/job-249880-lead-product-manager-at-open-financial-technologies-bangalore/"/>
    <hyperlink ref="I62" r:id="rId182" display="https://www.linkedin.com/jobs/search/?keywords=Open%20Financial%20Technologies&amp;location=India"/>
    <hyperlink ref="J62" r:id="rId183" display="https://www.linkedin.com/jobs/search/?keywords=Open%20Financial%20Technologies&amp;location=India"/>
    <hyperlink ref="H63" r:id="rId184" display="https://startup.jobs/chief-product-officer-easebuzz-6440327"/>
    <hyperlink ref="I63" r:id="rId185" display="https://easebuzz.in/careers/"/>
    <hyperlink ref="J63" r:id="rId186" display="https://www.linkedin.com/jobs/search/?keywords=Easebuzz&amp;location=India"/>
    <hyperlink ref="H64" r:id="rId187" display="https://www.themuse.com/jobs/wipro/consulting-partner-payments-2d9ff3"/>
    <hyperlink ref="I64" r:id="rId188" display="https://careers.wipro.com/content/Experienced-Professionals/?locale=en_US"/>
    <hyperlink ref="J64" r:id="rId189" display="https://www.linkedin.com/jobs/search/?keywords=Wipro&amp;location=India"/>
    <hyperlink ref="H65" r:id="rId190" display="https://job-boards.greenhouse.io/capco/jobs/7278632"/>
    <hyperlink ref="I65" r:id="rId191" display="https://job-boards.greenhouse.io/capco"/>
    <hyperlink ref="J65" r:id="rId192" display="https://www.linkedin.com/jobs/search/?keywords=Capco&amp;location=India"/>
    <hyperlink ref="H66" r:id="rId193" display="https://in.linkedin.com/jobs/genpact-jobs"/>
    <hyperlink ref="I66" r:id="rId194" display="https://www.linkedin.com/company/genpact"/>
    <hyperlink ref="J66" r:id="rId195" display="https://www.linkedin.com/jobs/search/?keywords=Genpact&amp;location=India"/>
    <hyperlink ref="H67" r:id="rId196" display="https://www.instahyre.com/job-320485-product-manager-at-idfc-first-bank-mumbai/"/>
    <hyperlink ref="I67" r:id="rId197" display="https://careers.idfcfirstbank.com/in/en/c/product-program-management-strategy-jobs"/>
    <hyperlink ref="J67" r:id="rId198" display="https://www.linkedin.com/jobs/search/?keywords=IDFC%20FIRST%20Bank&amp;location=India"/>
    <hyperlink ref="H68" r:id="rId199" display="https://www.iimjobs.com/j/rbl-bank-campaign-management-credit-cards-1349125"/>
    <hyperlink ref="I68" r:id="rId200" display="https://www.rbl.bank.in/careers"/>
    <hyperlink ref="J68" r:id="rId201" display="https://www.linkedin.com/jobs/search/?keywords=RBL%20Bank&amp;location=India"/>
    <hyperlink ref="H69" r:id="rId202" display="https://www.jobaaj.com/job/supermoney-product-manager-bengaluru-bangalore-karnataka-2-to-4-years-1280733"/>
    <hyperlink ref="I69" r:id="rId203" display="https://in.linkedin.com/company/getsupermoney"/>
    <hyperlink ref="J69" r:id="rId204" display="https://www.linkedin.com/jobs/search/?keywords=super.money&amp;location=India"/>
    <hyperlink ref="H70" r:id="rId205" display="https://www.uplers.com/company/navi-4688"/>
    <hyperlink ref="I70" r:id="rId206" display="https://in.linkedin.com/company/go-navi"/>
    <hyperlink ref="J70" r:id="rId207" display="https://www.linkedin.com/jobs/search/?keywords=Navi&amp;location=India"/>
    <hyperlink ref="H71" r:id="rId208" display="https://wellfound.com/company/getonecard/jobs"/>
    <hyperlink ref="I71" r:id="rId209" display="https://www.getonecard.app/careers/"/>
    <hyperlink ref="J71" r:id="rId210" display="https://www.linkedin.com/jobs/search/?keywords=OneCard&amp;location=India"/>
    <hyperlink ref="H72" r:id="rId211" display="https://getmereferred.com/job-listing/transaction-bankingbengaluruvice-presidentproduct-management-goldman-sachs-bengaluru-8-to-10-years-experience-8565e99d-1089-440f-9a61-ba71584cdb85"/>
    <hyperlink ref="I72" r:id="rId212" display="https://higher.gs.com/"/>
    <hyperlink ref="J72" r:id="rId213" display="https://www.linkedin.com/jobs/search/?keywords=Goldman%20Sachs&amp;location=India"/>
    <hyperlink ref="H73" r:id="rId214" display="https://www.wellsfargojobs.com/en/jobs/r-539367/senior-digital-product-manager/"/>
    <hyperlink ref="I73" r:id="rId215" display="https://wf.wd1.myworkdayjobs.com/WellsFargoJobs"/>
    <hyperlink ref="J73" r:id="rId216" display="https://www.linkedin.com/jobs/search/?keywords=Wells%20Fargo&amp;location=India"/>
    <hyperlink ref="H74" r:id="rId217" display="https://builtin.com/job/sr-analyst-data-analytics-and-insights-performance-marketing-l08/7654082"/>
    <hyperlink ref="I74" r:id="rId218" display="https://www.linkedin.com/jobs/search/?keywords=Synchrony&amp;location=India"/>
    <hyperlink ref="J74" r:id="rId219" display="https://www.linkedin.com/jobs/search/?keywords=Synchrony&amp;location=India"/>
    <hyperlink ref="H75" r:id="rId220" display="https://jobs.natwestgroup.com/search/product-and-proposition/jobs/in/country/india"/>
    <hyperlink ref="I75" r:id="rId221" display="https://jobs.natwestgroup.com/pages/india"/>
    <hyperlink ref="J75" r:id="rId222" display="https://www.linkedin.com/jobs/search/?keywords=NatWest%20Group&amp;location=India"/>
    <hyperlink ref="H76" r:id="rId223" display="https://www.glassdoor.co.in/Jobs/BNY-Jobs-E78.htm"/>
    <hyperlink ref="I76" r:id="rId224" display="https://www.bny.com/corporate/global/en/careers.html/"/>
    <hyperlink ref="J76" r:id="rId225" display="https://www.linkedin.com/jobs/search/?keywords=BNY&amp;location=India"/>
    <hyperlink ref="H77" r:id="rId226" display="https://in.linkedin.com/jobs/intellect-design-arena-ltd-jobs"/>
    <hyperlink ref="I77" r:id="rId227" display="https://www.intellectdesign.com/"/>
    <hyperlink ref="J77" r:id="rId228" display="https://www.linkedin.com/jobs/search/?keywords=Intellect%20Design%20Arena&amp;location=India"/>
    <hyperlink ref="H78" r:id="rId229" display="https://www.uplers.com/company/fss-5393"/>
    <hyperlink ref="I78" r:id="rId230" display="https://www.uplers.com/company/fss-5393"/>
    <hyperlink ref="J78" r:id="rId231" display="https://www.linkedin.com/jobs/search/?keywords=Financial%20Software%20and%20Systems&amp;location=India"/>
    <hyperlink ref="H79" r:id="rId232" display="https://workopia.io/jobs/a203a50af0c0bbdec79f11bc6c643aed"/>
    <hyperlink ref="I79" r:id="rId233" display="https://www.uplers.com/company/hitachi-payment-services-pvt-ltd-12393"/>
    <hyperlink ref="J79" r:id="rId234" display="https://www.linkedin.com/jobs/search/?keywords=Hitachi%20Payment%20Services&amp;location=India"/>
    <hyperlink ref="H80" r:id="rId235" display="https://www.bharat-connect.com/careers/apply/"/>
    <hyperlink ref="I80" r:id="rId236" display="https://in.linkedin.com/company/bharat-billpay"/>
    <hyperlink ref="J80" r:id="rId237" display="https://www.linkedin.com/jobs/search/?keywords=NPCI%20Bharat%20BillPay&amp;location=India"/>
    <hyperlink ref="H81" r:id="rId238" display="https://www.iimjobs.com/company/fino-payments-bank-careers"/>
    <hyperlink ref="I81" r:id="rId239" display="https://www.fino.bank.in/company/careers"/>
    <hyperlink ref="J81" r:id="rId240" display="https://www.linkedin.com/jobs/search/?keywords=Fino%20Payments%20Bank&amp;location=India"/>
    <hyperlink ref="H82" r:id="rId241" display="https://www.instahyre.com/job-116137-product-manager-senior-product-manager-at-enkash-bangalore-gurgaon-mumbai/"/>
    <hyperlink ref="I82" r:id="rId242" display="https://www.linkedin.com/jobs/search/?keywords=EnKash&amp;location=India"/>
    <hyperlink ref="J82" r:id="rId243" display="https://www.linkedin.com/jobs/search/?keywords=EnKash&amp;location=India"/>
    <hyperlink ref="H83" r:id="rId244" display="https://www.instahyre.com/job-299429-associate-product-manager-at-hyperface-bangalore/"/>
    <hyperlink ref="I83" r:id="rId245" display="https://www.linkedin.com/jobs/search/?keywords=Hyperface&amp;location=India"/>
    <hyperlink ref="J83" r:id="rId246" display="https://www.linkedin.com/jobs/search/?keywords=Hyperface&amp;location=India"/>
    <hyperlink ref="H84" r:id="rId247" display="https://www.instahyre.com/job-307355-business-head-at-zaggle-mumbai/"/>
    <hyperlink ref="I84" r:id="rId248" display="https://www.uplers.com/company/zaggle-3962"/>
    <hyperlink ref="J84" r:id="rId249" display="https://www.linkedin.com/jobs/search/?keywords=Zaggle&amp;location=India"/>
    <hyperlink ref="H85" r:id="rId250" display="https://www.instahyre.com/jobs-at-innoviti-payment-solutions/"/>
    <hyperlink ref="I85" r:id="rId251" display="https://cutshort.io/company/innoviti-payment-solutions-iopb4uFm"/>
    <hyperlink ref="J85" r:id="rId252" display="https://www.linkedin.com/jobs/search/?keywords=Innoviti%20Payment%20Solutions&amp;location=India"/>
    <hyperlink ref="H86" r:id="rId253" display="https://finzly.com/careers/product-manager/chennai-pune-india/"/>
    <hyperlink ref="I86" r:id="rId254" display="https://www.linkedin.com/jobs/search/?keywords=Finzly&amp;location=India"/>
    <hyperlink ref="J86" r:id="rId255" display="https://www.linkedin.com/jobs/search/?keywords=Finzly&amp;location=India"/>
    <hyperlink ref="H87" r:id="rId256" display="https://in.expertini.com/jobs/in/infosys-finacle-payments-product-management-bengaluru-infosys-finacle/"/>
    <hyperlink ref="I87" r:id="rId257" display="https://www.edgeverve.com/careers/"/>
    <hyperlink ref="J87" r:id="rId258" display="https://www.linkedin.com/jobs/search/?keywords=EdgeVerve&amp;location=India"/>
    <hyperlink ref="H88" r:id="rId259" display="https://www.glassdoor.com/Jobs/Finastra-Bangalore-Jobs-EI_IE1689268.0,8_IL.9,18_IM1091.htm"/>
    <hyperlink ref="I88" r:id="rId260" display="https://careers.finastra.com/jobs"/>
    <hyperlink ref="J88" r:id="rId261" display="https://www.linkedin.com/jobs/search/?keywords=Finastra&amp;location=India"/>
    <hyperlink ref="H89" r:id="rId262" display="https://careers.alvarezandmarsal.com/search/jobs/in/country/india"/>
    <hyperlink ref="I89" r:id="rId263" display="https://careers.alvarezandmarsal.com/"/>
    <hyperlink ref="J89" r:id="rId264" display="https://www.linkedin.com/jobs/search/?keywords=Alvarez%20%26%20Marsal&amp;location=India"/>
    <hyperlink ref="H90" r:id="rId265" display="https://in.linkedin.com/jobs/view/unit-manager-payments-upi-senior-unit-manager-payments-upi-at-bajaj-finserv-4034756746"/>
    <hyperlink ref="I90" r:id="rId266" display="https://in.linkedin.com/jobs/bajaj-finserv-digital-product-manager-jobs"/>
    <hyperlink ref="J90" r:id="rId267" display="https://www.linkedin.com/jobs/search/?keywords=Bajaj%20Finserv&amp;location=India"/>
    <hyperlink ref="H91" r:id="rId268" display="https://iimjobs.com/j/indusind-bank-product-manager-digital-payments-4-8-yrs-1226962.html"/>
    <hyperlink ref="I91" r:id="rId269" display="https://www.linkedin.com/jobs/search/?keywords=IndusInd%20Bank&amp;location=India"/>
    <hyperlink ref="J91" r:id="rId270" display="https://www.linkedin.com/jobs/search/?keywords=IndusInd%20Bank&amp;location=India"/>
    <hyperlink ref="H92" r:id="rId271" display="https://www.iimjobs.com/yes-bank-careers"/>
    <hyperlink ref="I92" r:id="rId272" display="https://in.linkedin.com/jobs/yes-bank-jobs-mumbai-metropolitan-region"/>
    <hyperlink ref="J92" r:id="rId273" display="https://www.linkedin.com/jobs/search/?keywords=Yes%20Bank&amp;location=India"/>
    <hyperlink ref="H93" r:id="rId274" display="https://www.instahyre.com/job-131755-product-manager-at-jupiter-2-bangalore/"/>
    <hyperlink ref="I93" r:id="rId275" display="https://www.linkedin.com/jobs/search/?keywords=Jupiter%20Money&amp;location=India"/>
    <hyperlink ref="J93" r:id="rId276" display="https://www.linkedin.com/jobs/search/?keywords=Jupiter%20Money&amp;location=India"/>
    <hyperlink ref="H94" r:id="rId277" display="https://cutshort.io/job/Intern-Product-Management-Bengaluru-Bangalore-Fi-Money-LoeMgFiB"/>
    <hyperlink ref="I94" r:id="rId278" display="https://www.linkedin.com/jobs/search/?keywords=Fi%20Money&amp;location=India"/>
    <hyperlink ref="J94" r:id="rId279" display="https://www.linkedin.com/jobs/search/?keywords=Fi%20Money&amp;location=India"/>
    <hyperlink ref="H95" r:id="rId280" display="https://wellfound.com/jobs/1069063-product-manager"/>
    <hyperlink ref="I95" r:id="rId281" display="https://www.linkedin.com/jobs/search/?keywords=Decentro&amp;location=India"/>
    <hyperlink ref="J95" r:id="rId282" display="https://www.linkedin.com/jobs/search/?keywords=Decentro&amp;location=India"/>
    <hyperlink ref="H96" r:id="rId283" display="https://careers.cognizant.com/us-en/jobs/00066270001/cards-and-payments-business-analyst/"/>
    <hyperlink ref="I96" r:id="rId284" display="https://careers.cognizant.com/india-en/"/>
    <hyperlink ref="J96" r:id="rId285" display="https://www.linkedin.com/jobs/search/?keywords=Cognizant&amp;location=India"/>
    <hyperlink ref="H97" r:id="rId286" display="https://www.jobaaj.com/job/tata-consultancy-services-limited-bfsi-analyst-delhi-ncr-1-to-2-years-582906"/>
    <hyperlink ref="I97" r:id="rId287" display="https://www.tcs.com/careers/india"/>
    <hyperlink ref="J97" r:id="rId288" display="https://www.linkedin.com/jobs/search/?keywords=Tata%20Consultancy%20Services&amp;location=India"/>
    <hyperlink ref="H98" r:id="rId289" display="https://www.instahyre.com/job-110024-product-manager-upi-at-slice-bangalore/"/>
    <hyperlink ref="I98" r:id="rId290" display="https://www.linkedin.com/jobs/search/?keywords=slice&amp;location=India"/>
    <hyperlink ref="J98" r:id="rId291" display="https://www.linkedin.com/jobs/search/?keywords=slice&amp;location=India"/>
    <hyperlink ref="H99" r:id="rId292" display="https://tazapay.freshteam.com/jobs"/>
    <hyperlink ref="I99" r:id="rId293" display="https://tazapay.com/careers"/>
    <hyperlink ref="J99" r:id="rId294" display="https://www.linkedin.com/jobs/search/?keywords=Tazapay&amp;location=India"/>
    <hyperlink ref="H100" r:id="rId295" display="https://in.linkedin.com/jobs/temenos-jobs"/>
    <hyperlink ref="I100" r:id="rId296" display="https://temenos.wd103.myworkdayjobs.com/Temenoscareers"/>
    <hyperlink ref="J100" r:id="rId297" display="https://www.linkedin.com/jobs/search/?keywords=Temenos&amp;location=India"/>
    <hyperlink ref="H101" r:id="rId298" display="https://www.naukri.com/protiviti-jobs"/>
    <hyperlink ref="I101" r:id="rId299" display="https://in.linkedin.com/company/protiviti-india-member-firm"/>
    <hyperlink ref="J101" r:id="rId300" display="https://www.linkedin.com/jobs/search/?keywords=Protiviti%20India&amp;location=India"/>
    <hyperlink ref="H102" r:id="rId301" display="https://www.instahyre.com/job-120279-product-manager-at-uni-cards-2-bangalore/"/>
    <hyperlink ref="I102" r:id="rId302" display="https://www.linkedin.com/jobs/search/?keywords=Uni%20Cards&amp;location=India"/>
    <hyperlink ref="J102" r:id="rId303" display="https://www.linkedin.com/jobs/search/?keywords=Uni%20Cards&amp;location=India"/>
    <hyperlink ref="H103" r:id="rId304" display="https://www.instahyre.com/job-414204-product-manager-at-groww-2-bangalore/"/>
    <hyperlink ref="I103" r:id="rId305" display="https://www.uplers.com/company/groww-8773"/>
    <hyperlink ref="J103" r:id="rId306" display="https://www.linkedin.com/jobs/search/?keywords=Groww&amp;location=Indi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0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8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7" min="6" style="0" width="26"/>
    <col collapsed="false" customWidth="true" hidden="false" outlineLevel="0" max="8" min="8" style="0" width="60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50"/>
    <col collapsed="false" customWidth="true" hidden="false" outlineLevel="0" max="12" min="12" style="0" width="22"/>
    <col collapsed="false" customWidth="true" hidden="false" outlineLevel="0" max="13" min="13" style="0" width="18"/>
    <col collapsed="false" customWidth="true" hidden="false" outlineLevel="0" max="14" min="14" style="0" width="30"/>
  </cols>
  <sheetData>
    <row r="1" customFormat="false" ht="30" hidden="false" customHeight="true" outlineLevel="0" collapsed="false">
      <c r="A1" s="5" t="s">
        <v>29</v>
      </c>
      <c r="B1" s="5" t="s">
        <v>30</v>
      </c>
      <c r="C1" s="5" t="s">
        <v>31</v>
      </c>
      <c r="D1" s="5" t="s">
        <v>553</v>
      </c>
      <c r="E1" s="5" t="s">
        <v>21</v>
      </c>
      <c r="F1" s="5" t="s">
        <v>554</v>
      </c>
      <c r="G1" s="5" t="s">
        <v>555</v>
      </c>
      <c r="H1" s="5" t="s">
        <v>556</v>
      </c>
      <c r="I1" s="5" t="s">
        <v>557</v>
      </c>
      <c r="J1" s="5" t="s">
        <v>558</v>
      </c>
      <c r="K1" s="5" t="s">
        <v>559</v>
      </c>
      <c r="L1" s="5" t="s">
        <v>560</v>
      </c>
      <c r="M1" s="5" t="s">
        <v>561</v>
      </c>
      <c r="N1" s="5" t="s">
        <v>562</v>
      </c>
    </row>
    <row r="2" customFormat="false" ht="15" hidden="false" customHeight="false" outlineLevel="0" collapsed="false">
      <c r="A2" s="8" t="n">
        <v>1</v>
      </c>
      <c r="B2" s="9" t="s">
        <v>257</v>
      </c>
      <c r="C2" s="8" t="s">
        <v>13</v>
      </c>
      <c r="D2" s="10" t="s">
        <v>563</v>
      </c>
      <c r="E2" s="8" t="s">
        <v>23</v>
      </c>
      <c r="F2" s="8" t="s">
        <v>564</v>
      </c>
      <c r="G2" s="10" t="s">
        <v>565</v>
      </c>
      <c r="H2" s="11" t="s">
        <v>261</v>
      </c>
      <c r="I2" s="8" t="s">
        <v>566</v>
      </c>
      <c r="J2" s="8" t="s">
        <v>567</v>
      </c>
      <c r="K2" s="11" t="s">
        <v>262</v>
      </c>
      <c r="L2" s="8" t="s">
        <v>568</v>
      </c>
      <c r="M2" s="12" t="s">
        <v>569</v>
      </c>
      <c r="N2" s="12"/>
    </row>
    <row r="3" customFormat="false" ht="15" hidden="false" customHeight="false" outlineLevel="0" collapsed="false">
      <c r="A3" s="4" t="n">
        <v>2</v>
      </c>
      <c r="B3" s="6" t="s">
        <v>257</v>
      </c>
      <c r="C3" s="4" t="s">
        <v>13</v>
      </c>
      <c r="D3" s="13" t="s">
        <v>570</v>
      </c>
      <c r="E3" s="4" t="s">
        <v>24</v>
      </c>
      <c r="F3" s="4" t="s">
        <v>24</v>
      </c>
      <c r="G3" s="13" t="s">
        <v>307</v>
      </c>
      <c r="H3" s="11" t="s">
        <v>571</v>
      </c>
      <c r="I3" s="4" t="s">
        <v>566</v>
      </c>
      <c r="J3" s="4" t="s">
        <v>567</v>
      </c>
      <c r="K3" s="11" t="s">
        <v>262</v>
      </c>
      <c r="L3" s="4" t="s">
        <v>568</v>
      </c>
      <c r="M3" s="12" t="s">
        <v>569</v>
      </c>
      <c r="N3" s="12"/>
    </row>
    <row r="4" customFormat="false" ht="15" hidden="false" customHeight="false" outlineLevel="0" collapsed="false">
      <c r="A4" s="8" t="n">
        <v>3</v>
      </c>
      <c r="B4" s="9" t="s">
        <v>257</v>
      </c>
      <c r="C4" s="8" t="s">
        <v>13</v>
      </c>
      <c r="D4" s="10" t="s">
        <v>572</v>
      </c>
      <c r="E4" s="8" t="s">
        <v>23</v>
      </c>
      <c r="F4" s="8" t="s">
        <v>573</v>
      </c>
      <c r="G4" s="10" t="s">
        <v>574</v>
      </c>
      <c r="H4" s="11" t="s">
        <v>575</v>
      </c>
      <c r="I4" s="8" t="s">
        <v>566</v>
      </c>
      <c r="J4" s="8" t="s">
        <v>567</v>
      </c>
      <c r="K4" s="11" t="s">
        <v>262</v>
      </c>
      <c r="L4" s="8" t="s">
        <v>568</v>
      </c>
      <c r="M4" s="12" t="s">
        <v>569</v>
      </c>
      <c r="N4" s="12"/>
    </row>
    <row r="5" customFormat="false" ht="15" hidden="false" customHeight="false" outlineLevel="0" collapsed="false">
      <c r="A5" s="4" t="n">
        <v>4</v>
      </c>
      <c r="B5" s="6" t="s">
        <v>484</v>
      </c>
      <c r="C5" s="4" t="s">
        <v>13</v>
      </c>
      <c r="D5" s="13" t="s">
        <v>576</v>
      </c>
      <c r="E5" s="4" t="s">
        <v>23</v>
      </c>
      <c r="F5" s="4" t="s">
        <v>23</v>
      </c>
      <c r="G5" s="13" t="s">
        <v>486</v>
      </c>
      <c r="H5" s="11" t="s">
        <v>487</v>
      </c>
      <c r="I5" s="4" t="s">
        <v>577</v>
      </c>
      <c r="J5" s="4" t="s">
        <v>567</v>
      </c>
      <c r="K5" s="11" t="s">
        <v>488</v>
      </c>
      <c r="L5" s="4" t="s">
        <v>568</v>
      </c>
      <c r="M5" s="12" t="s">
        <v>569</v>
      </c>
      <c r="N5" s="12"/>
    </row>
    <row r="6" customFormat="false" ht="15" hidden="false" customHeight="false" outlineLevel="0" collapsed="false">
      <c r="A6" s="8" t="n">
        <v>5</v>
      </c>
      <c r="B6" s="9" t="s">
        <v>253</v>
      </c>
      <c r="C6" s="8" t="s">
        <v>13</v>
      </c>
      <c r="D6" s="10" t="s">
        <v>578</v>
      </c>
      <c r="E6" s="8" t="s">
        <v>23</v>
      </c>
      <c r="F6" s="8" t="s">
        <v>579</v>
      </c>
      <c r="G6" s="10" t="s">
        <v>87</v>
      </c>
      <c r="H6" s="11" t="s">
        <v>254</v>
      </c>
      <c r="I6" s="8" t="s">
        <v>566</v>
      </c>
      <c r="J6" s="8" t="s">
        <v>567</v>
      </c>
      <c r="K6" s="11" t="s">
        <v>255</v>
      </c>
      <c r="L6" s="8" t="s">
        <v>568</v>
      </c>
      <c r="M6" s="12" t="s">
        <v>569</v>
      </c>
      <c r="N6" s="12"/>
    </row>
    <row r="7" customFormat="false" ht="15" hidden="false" customHeight="false" outlineLevel="0" collapsed="false">
      <c r="A7" s="4" t="n">
        <v>6</v>
      </c>
      <c r="B7" s="6" t="s">
        <v>253</v>
      </c>
      <c r="C7" s="4" t="s">
        <v>13</v>
      </c>
      <c r="D7" s="13" t="s">
        <v>580</v>
      </c>
      <c r="E7" s="4" t="s">
        <v>23</v>
      </c>
      <c r="F7" s="4" t="s">
        <v>579</v>
      </c>
      <c r="G7" s="13" t="s">
        <v>87</v>
      </c>
      <c r="H7" s="11" t="s">
        <v>581</v>
      </c>
      <c r="I7" s="4" t="s">
        <v>566</v>
      </c>
      <c r="J7" s="4" t="s">
        <v>567</v>
      </c>
      <c r="K7" s="11" t="s">
        <v>255</v>
      </c>
      <c r="L7" s="4" t="s">
        <v>568</v>
      </c>
      <c r="M7" s="12" t="s">
        <v>569</v>
      </c>
      <c r="N7" s="12"/>
    </row>
    <row r="8" customFormat="false" ht="23.85" hidden="false" customHeight="false" outlineLevel="0" collapsed="false">
      <c r="A8" s="8" t="n">
        <v>7</v>
      </c>
      <c r="B8" s="9" t="s">
        <v>249</v>
      </c>
      <c r="C8" s="8" t="s">
        <v>13</v>
      </c>
      <c r="D8" s="10" t="s">
        <v>582</v>
      </c>
      <c r="E8" s="8" t="s">
        <v>23</v>
      </c>
      <c r="F8" s="8" t="s">
        <v>564</v>
      </c>
      <c r="G8" s="10" t="s">
        <v>250</v>
      </c>
      <c r="H8" s="11" t="s">
        <v>251</v>
      </c>
      <c r="I8" s="8" t="s">
        <v>577</v>
      </c>
      <c r="J8" s="8" t="s">
        <v>567</v>
      </c>
      <c r="K8" s="11" t="s">
        <v>251</v>
      </c>
      <c r="L8" s="8" t="s">
        <v>568</v>
      </c>
      <c r="M8" s="12" t="s">
        <v>569</v>
      </c>
      <c r="N8" s="12"/>
    </row>
    <row r="9" customFormat="false" ht="15" hidden="false" customHeight="false" outlineLevel="0" collapsed="false">
      <c r="A9" s="4" t="n">
        <v>8</v>
      </c>
      <c r="B9" s="6" t="s">
        <v>367</v>
      </c>
      <c r="C9" s="4" t="s">
        <v>13</v>
      </c>
      <c r="D9" s="13" t="s">
        <v>583</v>
      </c>
      <c r="E9" s="4" t="s">
        <v>24</v>
      </c>
      <c r="F9" s="4" t="s">
        <v>24</v>
      </c>
      <c r="G9" s="13" t="s">
        <v>369</v>
      </c>
      <c r="H9" s="11" t="s">
        <v>370</v>
      </c>
      <c r="I9" s="4" t="s">
        <v>566</v>
      </c>
      <c r="J9" s="4" t="s">
        <v>584</v>
      </c>
      <c r="K9" s="11" t="s">
        <v>371</v>
      </c>
      <c r="L9" s="4" t="s">
        <v>568</v>
      </c>
      <c r="M9" s="12" t="s">
        <v>569</v>
      </c>
      <c r="N9" s="12"/>
    </row>
    <row r="10" customFormat="false" ht="15" hidden="false" customHeight="false" outlineLevel="0" collapsed="false">
      <c r="A10" s="8" t="n">
        <v>9</v>
      </c>
      <c r="B10" s="9" t="s">
        <v>311</v>
      </c>
      <c r="C10" s="8" t="s">
        <v>13</v>
      </c>
      <c r="D10" s="10" t="s">
        <v>585</v>
      </c>
      <c r="E10" s="8" t="s">
        <v>24</v>
      </c>
      <c r="F10" s="8" t="s">
        <v>24</v>
      </c>
      <c r="G10" s="10" t="s">
        <v>312</v>
      </c>
      <c r="H10" s="11" t="s">
        <v>313</v>
      </c>
      <c r="I10" s="8" t="s">
        <v>577</v>
      </c>
      <c r="J10" s="8" t="s">
        <v>567</v>
      </c>
      <c r="K10" s="11" t="s">
        <v>314</v>
      </c>
      <c r="L10" s="8" t="s">
        <v>568</v>
      </c>
      <c r="M10" s="12" t="s">
        <v>569</v>
      </c>
      <c r="N10" s="12"/>
    </row>
    <row r="11" customFormat="false" ht="15" hidden="false" customHeight="false" outlineLevel="0" collapsed="false">
      <c r="A11" s="4" t="n">
        <v>10</v>
      </c>
      <c r="B11" s="6" t="s">
        <v>514</v>
      </c>
      <c r="C11" s="4" t="s">
        <v>13</v>
      </c>
      <c r="D11" s="13" t="s">
        <v>586</v>
      </c>
      <c r="E11" s="4" t="s">
        <v>24</v>
      </c>
      <c r="F11" s="4" t="s">
        <v>24</v>
      </c>
      <c r="G11" s="13" t="s">
        <v>435</v>
      </c>
      <c r="H11" s="11" t="s">
        <v>517</v>
      </c>
      <c r="I11" s="4" t="s">
        <v>566</v>
      </c>
      <c r="J11" s="4" t="s">
        <v>567</v>
      </c>
      <c r="K11" s="11" t="s">
        <v>518</v>
      </c>
      <c r="L11" s="4" t="s">
        <v>568</v>
      </c>
      <c r="M11" s="12" t="s">
        <v>569</v>
      </c>
      <c r="N11" s="12"/>
    </row>
    <row r="12" customFormat="false" ht="15" hidden="false" customHeight="false" outlineLevel="0" collapsed="false">
      <c r="A12" s="8" t="n">
        <v>11</v>
      </c>
      <c r="B12" s="9" t="s">
        <v>514</v>
      </c>
      <c r="C12" s="8" t="s">
        <v>13</v>
      </c>
      <c r="D12" s="10" t="s">
        <v>587</v>
      </c>
      <c r="E12" s="8" t="s">
        <v>24</v>
      </c>
      <c r="F12" s="8" t="s">
        <v>24</v>
      </c>
      <c r="G12" s="10" t="s">
        <v>516</v>
      </c>
      <c r="H12" s="11" t="s">
        <v>588</v>
      </c>
      <c r="I12" s="8" t="s">
        <v>566</v>
      </c>
      <c r="J12" s="8" t="s">
        <v>567</v>
      </c>
      <c r="K12" s="11" t="s">
        <v>518</v>
      </c>
      <c r="L12" s="8" t="s">
        <v>568</v>
      </c>
      <c r="M12" s="12" t="s">
        <v>569</v>
      </c>
      <c r="N12" s="12"/>
    </row>
    <row r="13" customFormat="false" ht="15" hidden="false" customHeight="false" outlineLevel="0" collapsed="false">
      <c r="A13" s="4" t="n">
        <v>12</v>
      </c>
      <c r="B13" s="6" t="s">
        <v>264</v>
      </c>
      <c r="C13" s="4" t="s">
        <v>13</v>
      </c>
      <c r="D13" s="13" t="s">
        <v>589</v>
      </c>
      <c r="E13" s="4" t="s">
        <v>23</v>
      </c>
      <c r="F13" s="4" t="s">
        <v>564</v>
      </c>
      <c r="G13" s="13" t="s">
        <v>171</v>
      </c>
      <c r="H13" s="11" t="s">
        <v>266</v>
      </c>
      <c r="I13" s="4" t="s">
        <v>566</v>
      </c>
      <c r="J13" s="4" t="s">
        <v>567</v>
      </c>
      <c r="K13" s="11" t="s">
        <v>267</v>
      </c>
      <c r="L13" s="4" t="s">
        <v>568</v>
      </c>
      <c r="M13" s="12" t="s">
        <v>569</v>
      </c>
      <c r="N13" s="12"/>
    </row>
    <row r="14" customFormat="false" ht="15" hidden="false" customHeight="false" outlineLevel="0" collapsed="false">
      <c r="A14" s="8" t="n">
        <v>13</v>
      </c>
      <c r="B14" s="9" t="s">
        <v>264</v>
      </c>
      <c r="C14" s="8" t="s">
        <v>13</v>
      </c>
      <c r="D14" s="10" t="s">
        <v>590</v>
      </c>
      <c r="E14" s="8" t="s">
        <v>24</v>
      </c>
      <c r="F14" s="8" t="s">
        <v>24</v>
      </c>
      <c r="G14" s="10" t="s">
        <v>42</v>
      </c>
      <c r="H14" s="11" t="s">
        <v>591</v>
      </c>
      <c r="I14" s="8" t="s">
        <v>566</v>
      </c>
      <c r="J14" s="8" t="s">
        <v>567</v>
      </c>
      <c r="K14" s="11" t="s">
        <v>267</v>
      </c>
      <c r="L14" s="8" t="s">
        <v>568</v>
      </c>
      <c r="M14" s="12" t="s">
        <v>569</v>
      </c>
      <c r="N14" s="12"/>
    </row>
    <row r="15" customFormat="false" ht="15" hidden="false" customHeight="false" outlineLevel="0" collapsed="false">
      <c r="A15" s="4" t="n">
        <v>14</v>
      </c>
      <c r="B15" s="6" t="s">
        <v>264</v>
      </c>
      <c r="C15" s="4" t="s">
        <v>13</v>
      </c>
      <c r="D15" s="13" t="s">
        <v>592</v>
      </c>
      <c r="E15" s="4" t="s">
        <v>24</v>
      </c>
      <c r="F15" s="4" t="s">
        <v>24</v>
      </c>
      <c r="G15" s="13" t="s">
        <v>42</v>
      </c>
      <c r="H15" s="11" t="s">
        <v>593</v>
      </c>
      <c r="I15" s="4" t="s">
        <v>566</v>
      </c>
      <c r="J15" s="4" t="s">
        <v>567</v>
      </c>
      <c r="K15" s="11" t="s">
        <v>267</v>
      </c>
      <c r="L15" s="4" t="s">
        <v>568</v>
      </c>
      <c r="M15" s="12" t="s">
        <v>569</v>
      </c>
      <c r="N15" s="12"/>
    </row>
    <row r="16" customFormat="false" ht="23.85" hidden="false" customHeight="false" outlineLevel="0" collapsed="false">
      <c r="A16" s="8" t="n">
        <v>15</v>
      </c>
      <c r="B16" s="9" t="s">
        <v>269</v>
      </c>
      <c r="C16" s="8" t="s">
        <v>13</v>
      </c>
      <c r="D16" s="10" t="s">
        <v>594</v>
      </c>
      <c r="E16" s="8" t="s">
        <v>23</v>
      </c>
      <c r="F16" s="8" t="s">
        <v>564</v>
      </c>
      <c r="G16" s="10" t="s">
        <v>595</v>
      </c>
      <c r="H16" s="11" t="s">
        <v>272</v>
      </c>
      <c r="I16" s="8" t="s">
        <v>566</v>
      </c>
      <c r="J16" s="8" t="s">
        <v>567</v>
      </c>
      <c r="K16" s="11" t="s">
        <v>273</v>
      </c>
      <c r="L16" s="8" t="s">
        <v>568</v>
      </c>
      <c r="M16" s="12" t="s">
        <v>569</v>
      </c>
      <c r="N16" s="12"/>
    </row>
    <row r="17" customFormat="false" ht="15" hidden="false" customHeight="false" outlineLevel="0" collapsed="false">
      <c r="A17" s="4" t="n">
        <v>16</v>
      </c>
      <c r="B17" s="6" t="s">
        <v>269</v>
      </c>
      <c r="C17" s="4" t="s">
        <v>13</v>
      </c>
      <c r="D17" s="13" t="s">
        <v>596</v>
      </c>
      <c r="E17" s="4" t="s">
        <v>24</v>
      </c>
      <c r="F17" s="4" t="s">
        <v>24</v>
      </c>
      <c r="G17" s="13" t="s">
        <v>171</v>
      </c>
      <c r="H17" s="11" t="s">
        <v>597</v>
      </c>
      <c r="I17" s="4" t="s">
        <v>566</v>
      </c>
      <c r="J17" s="4" t="s">
        <v>598</v>
      </c>
      <c r="K17" s="11" t="s">
        <v>273</v>
      </c>
      <c r="L17" s="4" t="s">
        <v>568</v>
      </c>
      <c r="M17" s="12" t="s">
        <v>569</v>
      </c>
      <c r="N17" s="12"/>
    </row>
    <row r="18" customFormat="false" ht="15" hidden="false" customHeight="false" outlineLevel="0" collapsed="false">
      <c r="A18" s="8" t="n">
        <v>17</v>
      </c>
      <c r="B18" s="9" t="s">
        <v>269</v>
      </c>
      <c r="C18" s="8" t="s">
        <v>13</v>
      </c>
      <c r="D18" s="10" t="s">
        <v>599</v>
      </c>
      <c r="E18" s="8" t="s">
        <v>26</v>
      </c>
      <c r="F18" s="8" t="s">
        <v>26</v>
      </c>
      <c r="G18" s="10" t="s">
        <v>486</v>
      </c>
      <c r="H18" s="11" t="s">
        <v>600</v>
      </c>
      <c r="I18" s="8" t="s">
        <v>577</v>
      </c>
      <c r="J18" s="8" t="s">
        <v>567</v>
      </c>
      <c r="K18" s="11" t="s">
        <v>601</v>
      </c>
      <c r="L18" s="8" t="s">
        <v>568</v>
      </c>
      <c r="M18" s="12" t="s">
        <v>569</v>
      </c>
      <c r="N18" s="12"/>
    </row>
    <row r="19" customFormat="false" ht="23.85" hidden="false" customHeight="false" outlineLevel="0" collapsed="false">
      <c r="A19" s="4" t="n">
        <v>18</v>
      </c>
      <c r="B19" s="6" t="s">
        <v>373</v>
      </c>
      <c r="C19" s="4" t="s">
        <v>13</v>
      </c>
      <c r="D19" s="13" t="s">
        <v>602</v>
      </c>
      <c r="E19" s="4" t="s">
        <v>24</v>
      </c>
      <c r="F19" s="4" t="s">
        <v>603</v>
      </c>
      <c r="G19" s="13" t="s">
        <v>375</v>
      </c>
      <c r="H19" s="11" t="s">
        <v>376</v>
      </c>
      <c r="I19" s="4" t="s">
        <v>577</v>
      </c>
      <c r="J19" s="4" t="s">
        <v>604</v>
      </c>
      <c r="K19" s="11" t="s">
        <v>377</v>
      </c>
      <c r="L19" s="4" t="s">
        <v>568</v>
      </c>
      <c r="M19" s="12" t="s">
        <v>569</v>
      </c>
      <c r="N19" s="12"/>
    </row>
    <row r="20" customFormat="false" ht="15" hidden="false" customHeight="false" outlineLevel="0" collapsed="false">
      <c r="A20" s="8" t="n">
        <v>19</v>
      </c>
      <c r="B20" s="9" t="s">
        <v>305</v>
      </c>
      <c r="C20" s="8" t="s">
        <v>13</v>
      </c>
      <c r="D20" s="10" t="s">
        <v>605</v>
      </c>
      <c r="E20" s="8" t="s">
        <v>24</v>
      </c>
      <c r="F20" s="8" t="s">
        <v>24</v>
      </c>
      <c r="G20" s="10" t="s">
        <v>307</v>
      </c>
      <c r="H20" s="11" t="s">
        <v>308</v>
      </c>
      <c r="I20" s="8" t="s">
        <v>577</v>
      </c>
      <c r="J20" s="8" t="s">
        <v>567</v>
      </c>
      <c r="K20" s="11" t="s">
        <v>309</v>
      </c>
      <c r="L20" s="8" t="s">
        <v>568</v>
      </c>
      <c r="M20" s="12" t="s">
        <v>569</v>
      </c>
      <c r="N20" s="12"/>
    </row>
    <row r="21" customFormat="false" ht="15" hidden="false" customHeight="false" outlineLevel="0" collapsed="false">
      <c r="A21" s="4" t="n">
        <v>20</v>
      </c>
      <c r="B21" s="6" t="s">
        <v>284</v>
      </c>
      <c r="C21" s="4" t="s">
        <v>13</v>
      </c>
      <c r="D21" s="13" t="s">
        <v>606</v>
      </c>
      <c r="E21" s="4" t="s">
        <v>23</v>
      </c>
      <c r="F21" s="4" t="s">
        <v>564</v>
      </c>
      <c r="G21" s="13" t="s">
        <v>286</v>
      </c>
      <c r="H21" s="11" t="s">
        <v>287</v>
      </c>
      <c r="I21" s="4" t="s">
        <v>577</v>
      </c>
      <c r="J21" s="4" t="s">
        <v>567</v>
      </c>
      <c r="K21" s="11" t="s">
        <v>288</v>
      </c>
      <c r="L21" s="4" t="s">
        <v>568</v>
      </c>
      <c r="M21" s="12" t="s">
        <v>569</v>
      </c>
      <c r="N21" s="12"/>
    </row>
    <row r="22" customFormat="false" ht="15" hidden="false" customHeight="false" outlineLevel="0" collapsed="false">
      <c r="A22" s="8" t="n">
        <v>21</v>
      </c>
      <c r="B22" s="9" t="s">
        <v>279</v>
      </c>
      <c r="C22" s="8" t="s">
        <v>13</v>
      </c>
      <c r="D22" s="10" t="s">
        <v>607</v>
      </c>
      <c r="E22" s="8" t="s">
        <v>23</v>
      </c>
      <c r="F22" s="8" t="s">
        <v>608</v>
      </c>
      <c r="G22" s="10" t="s">
        <v>280</v>
      </c>
      <c r="H22" s="11" t="s">
        <v>281</v>
      </c>
      <c r="I22" s="8" t="s">
        <v>577</v>
      </c>
      <c r="J22" s="8" t="s">
        <v>609</v>
      </c>
      <c r="K22" s="11" t="s">
        <v>282</v>
      </c>
      <c r="L22" s="8" t="s">
        <v>568</v>
      </c>
      <c r="M22" s="12" t="s">
        <v>569</v>
      </c>
      <c r="N22" s="12"/>
    </row>
    <row r="23" customFormat="false" ht="15" hidden="false" customHeight="false" outlineLevel="0" collapsed="false">
      <c r="A23" s="4" t="n">
        <v>22</v>
      </c>
      <c r="B23" s="6" t="s">
        <v>243</v>
      </c>
      <c r="C23" s="4" t="s">
        <v>13</v>
      </c>
      <c r="D23" s="13" t="s">
        <v>610</v>
      </c>
      <c r="E23" s="4" t="s">
        <v>23</v>
      </c>
      <c r="F23" s="4" t="s">
        <v>573</v>
      </c>
      <c r="G23" s="13" t="s">
        <v>245</v>
      </c>
      <c r="H23" s="11" t="s">
        <v>246</v>
      </c>
      <c r="I23" s="4" t="s">
        <v>566</v>
      </c>
      <c r="J23" s="4" t="s">
        <v>567</v>
      </c>
      <c r="K23" s="11" t="s">
        <v>247</v>
      </c>
      <c r="L23" s="4" t="s">
        <v>568</v>
      </c>
      <c r="M23" s="12" t="s">
        <v>569</v>
      </c>
      <c r="N23" s="12"/>
    </row>
    <row r="24" customFormat="false" ht="15" hidden="false" customHeight="false" outlineLevel="0" collapsed="false">
      <c r="A24" s="8" t="n">
        <v>23</v>
      </c>
      <c r="B24" s="9" t="s">
        <v>290</v>
      </c>
      <c r="C24" s="8" t="s">
        <v>13</v>
      </c>
      <c r="D24" s="10" t="s">
        <v>611</v>
      </c>
      <c r="E24" s="8" t="s">
        <v>23</v>
      </c>
      <c r="F24" s="8" t="s">
        <v>564</v>
      </c>
      <c r="G24" s="10" t="s">
        <v>292</v>
      </c>
      <c r="H24" s="11" t="s">
        <v>293</v>
      </c>
      <c r="I24" s="8" t="s">
        <v>577</v>
      </c>
      <c r="J24" s="8" t="s">
        <v>567</v>
      </c>
      <c r="K24" s="11" t="s">
        <v>293</v>
      </c>
      <c r="L24" s="8" t="s">
        <v>568</v>
      </c>
      <c r="M24" s="12" t="s">
        <v>569</v>
      </c>
      <c r="N24" s="12"/>
    </row>
    <row r="25" customFormat="false" ht="15" hidden="false" customHeight="false" outlineLevel="0" collapsed="false">
      <c r="A25" s="4" t="n">
        <v>24</v>
      </c>
      <c r="B25" s="6" t="s">
        <v>316</v>
      </c>
      <c r="C25" s="4" t="s">
        <v>13</v>
      </c>
      <c r="D25" s="13" t="s">
        <v>612</v>
      </c>
      <c r="E25" s="4" t="s">
        <v>23</v>
      </c>
      <c r="F25" s="4" t="s">
        <v>564</v>
      </c>
      <c r="G25" s="13" t="s">
        <v>171</v>
      </c>
      <c r="H25" s="11" t="s">
        <v>318</v>
      </c>
      <c r="I25" s="4" t="s">
        <v>566</v>
      </c>
      <c r="J25" s="4" t="s">
        <v>613</v>
      </c>
      <c r="K25" s="11" t="s">
        <v>319</v>
      </c>
      <c r="L25" s="4" t="s">
        <v>568</v>
      </c>
      <c r="M25" s="12" t="s">
        <v>569</v>
      </c>
      <c r="N25" s="12"/>
    </row>
    <row r="26" customFormat="false" ht="15" hidden="false" customHeight="false" outlineLevel="0" collapsed="false">
      <c r="A26" s="8" t="n">
        <v>25</v>
      </c>
      <c r="B26" s="9" t="s">
        <v>540</v>
      </c>
      <c r="C26" s="8" t="s">
        <v>13</v>
      </c>
      <c r="D26" s="10" t="s">
        <v>614</v>
      </c>
      <c r="E26" s="8" t="s">
        <v>24</v>
      </c>
      <c r="F26" s="8" t="s">
        <v>24</v>
      </c>
      <c r="G26" s="10" t="s">
        <v>312</v>
      </c>
      <c r="H26" s="11" t="s">
        <v>542</v>
      </c>
      <c r="I26" s="8" t="s">
        <v>577</v>
      </c>
      <c r="J26" s="8" t="s">
        <v>615</v>
      </c>
      <c r="K26" s="11" t="s">
        <v>543</v>
      </c>
      <c r="L26" s="8" t="s">
        <v>568</v>
      </c>
      <c r="M26" s="12" t="s">
        <v>569</v>
      </c>
      <c r="N26" s="12"/>
    </row>
    <row r="27" customFormat="false" ht="15" hidden="false" customHeight="false" outlineLevel="0" collapsed="false">
      <c r="A27" s="4" t="n">
        <v>26</v>
      </c>
      <c r="B27" s="6" t="s">
        <v>275</v>
      </c>
      <c r="C27" s="4" t="s">
        <v>13</v>
      </c>
      <c r="D27" s="13" t="s">
        <v>616</v>
      </c>
      <c r="E27" s="4" t="s">
        <v>23</v>
      </c>
      <c r="F27" s="4" t="s">
        <v>564</v>
      </c>
      <c r="G27" s="13" t="s">
        <v>171</v>
      </c>
      <c r="H27" s="11" t="s">
        <v>276</v>
      </c>
      <c r="I27" s="4" t="s">
        <v>566</v>
      </c>
      <c r="J27" s="4" t="s">
        <v>613</v>
      </c>
      <c r="K27" s="11" t="s">
        <v>277</v>
      </c>
      <c r="L27" s="4" t="s">
        <v>568</v>
      </c>
      <c r="M27" s="12" t="s">
        <v>569</v>
      </c>
      <c r="N27" s="12"/>
    </row>
    <row r="28" customFormat="false" ht="15" hidden="false" customHeight="false" outlineLevel="0" collapsed="false">
      <c r="A28" s="8" t="n">
        <v>27</v>
      </c>
      <c r="B28" s="9" t="s">
        <v>300</v>
      </c>
      <c r="C28" s="8" t="s">
        <v>13</v>
      </c>
      <c r="D28" s="10" t="s">
        <v>617</v>
      </c>
      <c r="E28" s="8" t="s">
        <v>23</v>
      </c>
      <c r="F28" s="8" t="s">
        <v>564</v>
      </c>
      <c r="G28" s="10" t="s">
        <v>42</v>
      </c>
      <c r="H28" s="11" t="s">
        <v>302</v>
      </c>
      <c r="I28" s="8" t="s">
        <v>577</v>
      </c>
      <c r="J28" s="8" t="s">
        <v>615</v>
      </c>
      <c r="K28" s="11" t="s">
        <v>303</v>
      </c>
      <c r="L28" s="8" t="s">
        <v>568</v>
      </c>
      <c r="M28" s="12" t="s">
        <v>569</v>
      </c>
      <c r="N28" s="12"/>
    </row>
    <row r="29" customFormat="false" ht="15" hidden="false" customHeight="false" outlineLevel="0" collapsed="false">
      <c r="A29" s="4" t="n">
        <v>28</v>
      </c>
      <c r="B29" s="6" t="s">
        <v>321</v>
      </c>
      <c r="C29" s="4" t="s">
        <v>13</v>
      </c>
      <c r="D29" s="13" t="s">
        <v>618</v>
      </c>
      <c r="E29" s="4" t="s">
        <v>23</v>
      </c>
      <c r="F29" s="4" t="s">
        <v>564</v>
      </c>
      <c r="G29" s="13" t="s">
        <v>322</v>
      </c>
      <c r="H29" s="11" t="s">
        <v>323</v>
      </c>
      <c r="I29" s="4" t="s">
        <v>577</v>
      </c>
      <c r="J29" s="4" t="s">
        <v>567</v>
      </c>
      <c r="K29" s="11" t="s">
        <v>324</v>
      </c>
      <c r="L29" s="4" t="s">
        <v>568</v>
      </c>
      <c r="M29" s="12" t="s">
        <v>569</v>
      </c>
      <c r="N29" s="12"/>
    </row>
    <row r="30" customFormat="false" ht="15" hidden="false" customHeight="false" outlineLevel="0" collapsed="false">
      <c r="A30" s="8" t="n">
        <v>29</v>
      </c>
      <c r="B30" s="9" t="s">
        <v>295</v>
      </c>
      <c r="C30" s="8" t="s">
        <v>13</v>
      </c>
      <c r="D30" s="10" t="s">
        <v>619</v>
      </c>
      <c r="E30" s="8" t="s">
        <v>23</v>
      </c>
      <c r="F30" s="8" t="s">
        <v>620</v>
      </c>
      <c r="G30" s="10" t="s">
        <v>292</v>
      </c>
      <c r="H30" s="11" t="s">
        <v>297</v>
      </c>
      <c r="I30" s="8" t="s">
        <v>577</v>
      </c>
      <c r="J30" s="8" t="s">
        <v>567</v>
      </c>
      <c r="K30" s="11" t="s">
        <v>298</v>
      </c>
      <c r="L30" s="8" t="s">
        <v>568</v>
      </c>
      <c r="M30" s="12" t="s">
        <v>569</v>
      </c>
      <c r="N30" s="12"/>
    </row>
    <row r="31" customFormat="false" ht="15" hidden="false" customHeight="false" outlineLevel="0" collapsed="false">
      <c r="A31" s="4" t="n">
        <v>30</v>
      </c>
      <c r="B31" s="6" t="s">
        <v>520</v>
      </c>
      <c r="C31" s="4" t="s">
        <v>13</v>
      </c>
      <c r="D31" s="13" t="s">
        <v>621</v>
      </c>
      <c r="E31" s="4" t="s">
        <v>24</v>
      </c>
      <c r="F31" s="4" t="s">
        <v>24</v>
      </c>
      <c r="G31" s="13" t="s">
        <v>522</v>
      </c>
      <c r="H31" s="11" t="s">
        <v>523</v>
      </c>
      <c r="I31" s="4" t="s">
        <v>566</v>
      </c>
      <c r="J31" s="4" t="s">
        <v>622</v>
      </c>
      <c r="K31" s="11" t="s">
        <v>524</v>
      </c>
      <c r="L31" s="4" t="s">
        <v>568</v>
      </c>
      <c r="M31" s="12" t="s">
        <v>569</v>
      </c>
      <c r="N31" s="12"/>
    </row>
    <row r="32" customFormat="false" ht="15" hidden="false" customHeight="false" outlineLevel="0" collapsed="false">
      <c r="A32" s="8" t="n">
        <v>31</v>
      </c>
      <c r="B32" s="9" t="s">
        <v>361</v>
      </c>
      <c r="C32" s="8" t="s">
        <v>13</v>
      </c>
      <c r="D32" s="10" t="s">
        <v>623</v>
      </c>
      <c r="E32" s="8" t="s">
        <v>23</v>
      </c>
      <c r="F32" s="8" t="s">
        <v>624</v>
      </c>
      <c r="G32" s="10" t="s">
        <v>435</v>
      </c>
      <c r="H32" s="11" t="s">
        <v>364</v>
      </c>
      <c r="I32" s="8" t="s">
        <v>566</v>
      </c>
      <c r="J32" s="8" t="s">
        <v>625</v>
      </c>
      <c r="K32" s="11" t="s">
        <v>365</v>
      </c>
      <c r="L32" s="8" t="s">
        <v>568</v>
      </c>
      <c r="M32" s="12" t="s">
        <v>569</v>
      </c>
      <c r="N32" s="12"/>
    </row>
    <row r="33" customFormat="false" ht="15" hidden="false" customHeight="false" outlineLevel="0" collapsed="false">
      <c r="A33" s="4" t="n">
        <v>32</v>
      </c>
      <c r="B33" s="6" t="s">
        <v>361</v>
      </c>
      <c r="C33" s="4" t="s">
        <v>13</v>
      </c>
      <c r="D33" s="13" t="s">
        <v>626</v>
      </c>
      <c r="E33" s="4" t="s">
        <v>24</v>
      </c>
      <c r="F33" s="4" t="s">
        <v>24</v>
      </c>
      <c r="G33" s="13" t="s">
        <v>627</v>
      </c>
      <c r="H33" s="11" t="s">
        <v>628</v>
      </c>
      <c r="I33" s="4" t="s">
        <v>566</v>
      </c>
      <c r="J33" s="4" t="s">
        <v>625</v>
      </c>
      <c r="K33" s="11" t="s">
        <v>365</v>
      </c>
      <c r="L33" s="4" t="s">
        <v>568</v>
      </c>
      <c r="M33" s="12" t="s">
        <v>569</v>
      </c>
      <c r="N33" s="12"/>
    </row>
    <row r="34" customFormat="false" ht="15" hidden="false" customHeight="false" outlineLevel="0" collapsed="false">
      <c r="A34" s="8" t="n">
        <v>33</v>
      </c>
      <c r="B34" s="9" t="s">
        <v>361</v>
      </c>
      <c r="C34" s="8" t="s">
        <v>13</v>
      </c>
      <c r="D34" s="10" t="s">
        <v>629</v>
      </c>
      <c r="E34" s="8" t="s">
        <v>24</v>
      </c>
      <c r="F34" s="8" t="s">
        <v>24</v>
      </c>
      <c r="G34" s="10" t="s">
        <v>630</v>
      </c>
      <c r="H34" s="11" t="s">
        <v>631</v>
      </c>
      <c r="I34" s="8" t="s">
        <v>577</v>
      </c>
      <c r="J34" s="8" t="s">
        <v>604</v>
      </c>
      <c r="K34" s="11" t="s">
        <v>365</v>
      </c>
      <c r="L34" s="8" t="s">
        <v>568</v>
      </c>
      <c r="M34" s="12" t="s">
        <v>569</v>
      </c>
      <c r="N34" s="12"/>
    </row>
    <row r="35" customFormat="false" ht="15" hidden="false" customHeight="false" outlineLevel="0" collapsed="false">
      <c r="A35" s="4" t="n">
        <v>34</v>
      </c>
      <c r="B35" s="6" t="s">
        <v>490</v>
      </c>
      <c r="C35" s="4" t="s">
        <v>14</v>
      </c>
      <c r="D35" s="13" t="s">
        <v>632</v>
      </c>
      <c r="E35" s="4" t="s">
        <v>25</v>
      </c>
      <c r="F35" s="4" t="s">
        <v>633</v>
      </c>
      <c r="G35" s="13" t="s">
        <v>214</v>
      </c>
      <c r="H35" s="11" t="s">
        <v>492</v>
      </c>
      <c r="I35" s="4" t="s">
        <v>566</v>
      </c>
      <c r="J35" s="4" t="s">
        <v>634</v>
      </c>
      <c r="K35" s="11" t="s">
        <v>493</v>
      </c>
      <c r="L35" s="4" t="s">
        <v>568</v>
      </c>
      <c r="M35" s="12" t="s">
        <v>569</v>
      </c>
      <c r="N35" s="12"/>
    </row>
    <row r="36" customFormat="false" ht="15" hidden="false" customHeight="false" outlineLevel="0" collapsed="false">
      <c r="A36" s="8" t="n">
        <v>35</v>
      </c>
      <c r="B36" s="9" t="s">
        <v>490</v>
      </c>
      <c r="C36" s="8" t="s">
        <v>14</v>
      </c>
      <c r="D36" s="10" t="s">
        <v>635</v>
      </c>
      <c r="E36" s="8" t="s">
        <v>27</v>
      </c>
      <c r="F36" s="8" t="s">
        <v>636</v>
      </c>
      <c r="G36" s="10" t="s">
        <v>214</v>
      </c>
      <c r="H36" s="11" t="s">
        <v>637</v>
      </c>
      <c r="I36" s="8" t="s">
        <v>566</v>
      </c>
      <c r="J36" s="8" t="s">
        <v>638</v>
      </c>
      <c r="K36" s="11" t="s">
        <v>493</v>
      </c>
      <c r="L36" s="8" t="s">
        <v>568</v>
      </c>
      <c r="M36" s="12" t="s">
        <v>569</v>
      </c>
      <c r="N36" s="12"/>
    </row>
    <row r="37" customFormat="false" ht="15" hidden="false" customHeight="false" outlineLevel="0" collapsed="false">
      <c r="A37" s="4" t="n">
        <v>36</v>
      </c>
      <c r="B37" s="6" t="s">
        <v>79</v>
      </c>
      <c r="C37" s="4" t="s">
        <v>14</v>
      </c>
      <c r="D37" s="13" t="s">
        <v>639</v>
      </c>
      <c r="E37" s="4" t="s">
        <v>25</v>
      </c>
      <c r="F37" s="4" t="s">
        <v>25</v>
      </c>
      <c r="G37" s="13" t="s">
        <v>81</v>
      </c>
      <c r="H37" s="11" t="s">
        <v>82</v>
      </c>
      <c r="I37" s="4" t="s">
        <v>566</v>
      </c>
      <c r="J37" s="4" t="s">
        <v>640</v>
      </c>
      <c r="K37" s="11" t="s">
        <v>83</v>
      </c>
      <c r="L37" s="4" t="s">
        <v>568</v>
      </c>
      <c r="M37" s="12" t="s">
        <v>569</v>
      </c>
      <c r="N37" s="12"/>
    </row>
    <row r="38" customFormat="false" ht="15" hidden="false" customHeight="false" outlineLevel="0" collapsed="false">
      <c r="A38" s="8" t="n">
        <v>37</v>
      </c>
      <c r="B38" s="9" t="s">
        <v>58</v>
      </c>
      <c r="C38" s="8" t="s">
        <v>14</v>
      </c>
      <c r="D38" s="10" t="s">
        <v>641</v>
      </c>
      <c r="E38" s="8" t="s">
        <v>25</v>
      </c>
      <c r="F38" s="8" t="s">
        <v>25</v>
      </c>
      <c r="G38" s="10" t="s">
        <v>42</v>
      </c>
      <c r="H38" s="11" t="s">
        <v>60</v>
      </c>
      <c r="I38" s="8" t="s">
        <v>566</v>
      </c>
      <c r="J38" s="8" t="s">
        <v>642</v>
      </c>
      <c r="K38" s="11" t="s">
        <v>61</v>
      </c>
      <c r="L38" s="8" t="s">
        <v>568</v>
      </c>
      <c r="M38" s="12" t="s">
        <v>569</v>
      </c>
      <c r="N38" s="12"/>
    </row>
    <row r="39" customFormat="false" ht="15" hidden="false" customHeight="false" outlineLevel="0" collapsed="false">
      <c r="A39" s="4" t="n">
        <v>38</v>
      </c>
      <c r="B39" s="6" t="s">
        <v>58</v>
      </c>
      <c r="C39" s="4" t="s">
        <v>14</v>
      </c>
      <c r="D39" s="13" t="s">
        <v>643</v>
      </c>
      <c r="E39" s="4" t="s">
        <v>25</v>
      </c>
      <c r="F39" s="4" t="s">
        <v>633</v>
      </c>
      <c r="G39" s="13" t="s">
        <v>42</v>
      </c>
      <c r="H39" s="11" t="s">
        <v>644</v>
      </c>
      <c r="I39" s="4" t="s">
        <v>566</v>
      </c>
      <c r="J39" s="4" t="s">
        <v>645</v>
      </c>
      <c r="K39" s="11" t="s">
        <v>61</v>
      </c>
      <c r="L39" s="4" t="s">
        <v>568</v>
      </c>
      <c r="M39" s="12" t="s">
        <v>569</v>
      </c>
      <c r="N39" s="12"/>
    </row>
    <row r="40" customFormat="false" ht="15" hidden="false" customHeight="false" outlineLevel="0" collapsed="false">
      <c r="A40" s="8" t="n">
        <v>39</v>
      </c>
      <c r="B40" s="9" t="s">
        <v>91</v>
      </c>
      <c r="C40" s="8" t="s">
        <v>14</v>
      </c>
      <c r="D40" s="10" t="s">
        <v>646</v>
      </c>
      <c r="E40" s="8" t="s">
        <v>25</v>
      </c>
      <c r="F40" s="8" t="s">
        <v>633</v>
      </c>
      <c r="G40" s="10" t="s">
        <v>42</v>
      </c>
      <c r="H40" s="11" t="s">
        <v>93</v>
      </c>
      <c r="I40" s="8" t="s">
        <v>566</v>
      </c>
      <c r="J40" s="8" t="s">
        <v>645</v>
      </c>
      <c r="K40" s="11" t="s">
        <v>94</v>
      </c>
      <c r="L40" s="8" t="s">
        <v>568</v>
      </c>
      <c r="M40" s="12" t="s">
        <v>569</v>
      </c>
      <c r="N40" s="12"/>
    </row>
    <row r="41" customFormat="false" ht="15" hidden="false" customHeight="false" outlineLevel="0" collapsed="false">
      <c r="A41" s="4" t="n">
        <v>40</v>
      </c>
      <c r="B41" s="6" t="s">
        <v>91</v>
      </c>
      <c r="C41" s="4" t="s">
        <v>14</v>
      </c>
      <c r="D41" s="13" t="s">
        <v>647</v>
      </c>
      <c r="E41" s="4" t="s">
        <v>25</v>
      </c>
      <c r="F41" s="4" t="s">
        <v>25</v>
      </c>
      <c r="G41" s="13" t="s">
        <v>42</v>
      </c>
      <c r="H41" s="11" t="s">
        <v>648</v>
      </c>
      <c r="I41" s="4" t="s">
        <v>566</v>
      </c>
      <c r="J41" s="4" t="s">
        <v>645</v>
      </c>
      <c r="K41" s="11" t="s">
        <v>94</v>
      </c>
      <c r="L41" s="4" t="s">
        <v>568</v>
      </c>
      <c r="M41" s="12" t="s">
        <v>569</v>
      </c>
      <c r="N41" s="12"/>
    </row>
    <row r="42" customFormat="false" ht="15" hidden="false" customHeight="false" outlineLevel="0" collapsed="false">
      <c r="A42" s="8" t="n">
        <v>41</v>
      </c>
      <c r="B42" s="9" t="s">
        <v>510</v>
      </c>
      <c r="C42" s="8" t="s">
        <v>14</v>
      </c>
      <c r="D42" s="10" t="s">
        <v>649</v>
      </c>
      <c r="E42" s="8" t="s">
        <v>25</v>
      </c>
      <c r="F42" s="8" t="s">
        <v>25</v>
      </c>
      <c r="G42" s="10" t="s">
        <v>42</v>
      </c>
      <c r="H42" s="11" t="s">
        <v>512</v>
      </c>
      <c r="I42" s="8" t="s">
        <v>566</v>
      </c>
      <c r="J42" s="8" t="s">
        <v>650</v>
      </c>
      <c r="K42" s="11" t="s">
        <v>513</v>
      </c>
      <c r="L42" s="8" t="s">
        <v>568</v>
      </c>
      <c r="M42" s="12" t="s">
        <v>569</v>
      </c>
      <c r="N42" s="12"/>
    </row>
    <row r="43" customFormat="false" ht="15" hidden="false" customHeight="false" outlineLevel="0" collapsed="false">
      <c r="A43" s="4" t="n">
        <v>42</v>
      </c>
      <c r="B43" s="6" t="s">
        <v>356</v>
      </c>
      <c r="C43" s="4" t="s">
        <v>14</v>
      </c>
      <c r="D43" s="13" t="s">
        <v>651</v>
      </c>
      <c r="E43" s="4" t="s">
        <v>25</v>
      </c>
      <c r="F43" s="4" t="s">
        <v>652</v>
      </c>
      <c r="G43" s="13" t="s">
        <v>214</v>
      </c>
      <c r="H43" s="11" t="s">
        <v>358</v>
      </c>
      <c r="I43" s="4" t="s">
        <v>566</v>
      </c>
      <c r="J43" s="4" t="s">
        <v>645</v>
      </c>
      <c r="K43" s="11" t="s">
        <v>359</v>
      </c>
      <c r="L43" s="4" t="s">
        <v>568</v>
      </c>
      <c r="M43" s="12" t="s">
        <v>569</v>
      </c>
      <c r="N43" s="12"/>
    </row>
    <row r="44" customFormat="false" ht="15" hidden="false" customHeight="false" outlineLevel="0" collapsed="false">
      <c r="A44" s="8" t="n">
        <v>43</v>
      </c>
      <c r="B44" s="9" t="s">
        <v>452</v>
      </c>
      <c r="C44" s="8" t="s">
        <v>14</v>
      </c>
      <c r="D44" s="10" t="s">
        <v>653</v>
      </c>
      <c r="E44" s="8" t="s">
        <v>25</v>
      </c>
      <c r="F44" s="8" t="s">
        <v>25</v>
      </c>
      <c r="G44" s="10" t="s">
        <v>454</v>
      </c>
      <c r="H44" s="11" t="s">
        <v>455</v>
      </c>
      <c r="I44" s="8" t="s">
        <v>566</v>
      </c>
      <c r="J44" s="8" t="s">
        <v>654</v>
      </c>
      <c r="K44" s="11" t="s">
        <v>456</v>
      </c>
      <c r="L44" s="8" t="s">
        <v>568</v>
      </c>
      <c r="M44" s="12" t="s">
        <v>569</v>
      </c>
      <c r="N44" s="12"/>
    </row>
    <row r="45" customFormat="false" ht="15" hidden="false" customHeight="false" outlineLevel="0" collapsed="false">
      <c r="A45" s="4" t="n">
        <v>44</v>
      </c>
      <c r="B45" s="6" t="s">
        <v>507</v>
      </c>
      <c r="C45" s="4" t="s">
        <v>14</v>
      </c>
      <c r="D45" s="13" t="s">
        <v>655</v>
      </c>
      <c r="E45" s="4" t="s">
        <v>25</v>
      </c>
      <c r="F45" s="4" t="s">
        <v>656</v>
      </c>
      <c r="G45" s="13" t="s">
        <v>42</v>
      </c>
      <c r="H45" s="11" t="s">
        <v>508</v>
      </c>
      <c r="I45" s="4" t="s">
        <v>566</v>
      </c>
      <c r="J45" s="4" t="s">
        <v>657</v>
      </c>
      <c r="K45" s="11" t="s">
        <v>509</v>
      </c>
      <c r="L45" s="4" t="s">
        <v>568</v>
      </c>
      <c r="M45" s="12" t="s">
        <v>569</v>
      </c>
      <c r="N45" s="12"/>
    </row>
    <row r="46" customFormat="false" ht="15" hidden="false" customHeight="false" outlineLevel="0" collapsed="false">
      <c r="A46" s="8" t="n">
        <v>45</v>
      </c>
      <c r="B46" s="9" t="s">
        <v>548</v>
      </c>
      <c r="C46" s="8" t="s">
        <v>14</v>
      </c>
      <c r="D46" s="10" t="s">
        <v>658</v>
      </c>
      <c r="E46" s="8" t="s">
        <v>25</v>
      </c>
      <c r="F46" s="8" t="s">
        <v>25</v>
      </c>
      <c r="G46" s="10" t="s">
        <v>42</v>
      </c>
      <c r="H46" s="11" t="s">
        <v>550</v>
      </c>
      <c r="I46" s="8" t="s">
        <v>566</v>
      </c>
      <c r="J46" s="8" t="s">
        <v>654</v>
      </c>
      <c r="K46" s="11" t="s">
        <v>551</v>
      </c>
      <c r="L46" s="8" t="s">
        <v>568</v>
      </c>
      <c r="M46" s="12" t="s">
        <v>569</v>
      </c>
      <c r="N46" s="12"/>
    </row>
    <row r="47" customFormat="false" ht="15" hidden="false" customHeight="false" outlineLevel="0" collapsed="false">
      <c r="A47" s="4" t="n">
        <v>46</v>
      </c>
      <c r="B47" s="6" t="s">
        <v>457</v>
      </c>
      <c r="C47" s="4" t="s">
        <v>14</v>
      </c>
      <c r="D47" s="13" t="s">
        <v>659</v>
      </c>
      <c r="E47" s="4" t="s">
        <v>25</v>
      </c>
      <c r="F47" s="4" t="s">
        <v>25</v>
      </c>
      <c r="G47" s="13" t="s">
        <v>42</v>
      </c>
      <c r="H47" s="11" t="s">
        <v>459</v>
      </c>
      <c r="I47" s="4" t="s">
        <v>566</v>
      </c>
      <c r="J47" s="4" t="s">
        <v>654</v>
      </c>
      <c r="K47" s="11" t="s">
        <v>460</v>
      </c>
      <c r="L47" s="4" t="s">
        <v>568</v>
      </c>
      <c r="M47" s="12" t="s">
        <v>569</v>
      </c>
      <c r="N47" s="12"/>
    </row>
    <row r="48" customFormat="false" ht="15" hidden="false" customHeight="false" outlineLevel="0" collapsed="false">
      <c r="A48" s="8" t="n">
        <v>47</v>
      </c>
      <c r="B48" s="9" t="s">
        <v>466</v>
      </c>
      <c r="C48" s="8" t="s">
        <v>14</v>
      </c>
      <c r="D48" s="10" t="s">
        <v>660</v>
      </c>
      <c r="E48" s="8" t="s">
        <v>25</v>
      </c>
      <c r="F48" s="8" t="s">
        <v>661</v>
      </c>
      <c r="G48" s="10" t="s">
        <v>42</v>
      </c>
      <c r="H48" s="11" t="s">
        <v>468</v>
      </c>
      <c r="I48" s="8" t="s">
        <v>577</v>
      </c>
      <c r="J48" s="8" t="s">
        <v>654</v>
      </c>
      <c r="K48" s="11" t="s">
        <v>469</v>
      </c>
      <c r="L48" s="8" t="s">
        <v>568</v>
      </c>
      <c r="M48" s="12" t="s">
        <v>569</v>
      </c>
      <c r="N48" s="12"/>
    </row>
    <row r="49" customFormat="false" ht="15" hidden="false" customHeight="false" outlineLevel="0" collapsed="false">
      <c r="A49" s="4" t="n">
        <v>48</v>
      </c>
      <c r="B49" s="6" t="s">
        <v>503</v>
      </c>
      <c r="C49" s="4" t="s">
        <v>14</v>
      </c>
      <c r="D49" s="13" t="s">
        <v>649</v>
      </c>
      <c r="E49" s="4" t="s">
        <v>25</v>
      </c>
      <c r="F49" s="4" t="s">
        <v>25</v>
      </c>
      <c r="G49" s="13" t="s">
        <v>42</v>
      </c>
      <c r="H49" s="11" t="s">
        <v>505</v>
      </c>
      <c r="I49" s="4" t="s">
        <v>566</v>
      </c>
      <c r="J49" s="4" t="s">
        <v>654</v>
      </c>
      <c r="K49" s="11" t="s">
        <v>506</v>
      </c>
      <c r="L49" s="4" t="s">
        <v>568</v>
      </c>
      <c r="M49" s="12" t="s">
        <v>569</v>
      </c>
      <c r="N49" s="12"/>
    </row>
    <row r="50" customFormat="false" ht="15" hidden="false" customHeight="false" outlineLevel="0" collapsed="false">
      <c r="A50" s="8" t="n">
        <v>49</v>
      </c>
      <c r="B50" s="9" t="s">
        <v>63</v>
      </c>
      <c r="C50" s="8" t="s">
        <v>14</v>
      </c>
      <c r="D50" s="10" t="s">
        <v>662</v>
      </c>
      <c r="E50" s="8" t="s">
        <v>25</v>
      </c>
      <c r="F50" s="8" t="s">
        <v>25</v>
      </c>
      <c r="G50" s="10" t="s">
        <v>42</v>
      </c>
      <c r="H50" s="11" t="s">
        <v>65</v>
      </c>
      <c r="I50" s="8" t="s">
        <v>566</v>
      </c>
      <c r="J50" s="8" t="s">
        <v>654</v>
      </c>
      <c r="K50" s="11" t="s">
        <v>66</v>
      </c>
      <c r="L50" s="8" t="s">
        <v>568</v>
      </c>
      <c r="M50" s="12" t="s">
        <v>569</v>
      </c>
      <c r="N50" s="12"/>
    </row>
    <row r="51" customFormat="false" ht="15" hidden="false" customHeight="false" outlineLevel="0" collapsed="false">
      <c r="A51" s="4" t="n">
        <v>50</v>
      </c>
      <c r="B51" s="6" t="s">
        <v>63</v>
      </c>
      <c r="C51" s="4" t="s">
        <v>14</v>
      </c>
      <c r="D51" s="13" t="s">
        <v>663</v>
      </c>
      <c r="E51" s="4" t="s">
        <v>27</v>
      </c>
      <c r="F51" s="4" t="s">
        <v>664</v>
      </c>
      <c r="G51" s="13" t="s">
        <v>42</v>
      </c>
      <c r="H51" s="11" t="s">
        <v>665</v>
      </c>
      <c r="I51" s="4" t="s">
        <v>566</v>
      </c>
      <c r="J51" s="4" t="s">
        <v>634</v>
      </c>
      <c r="K51" s="11" t="s">
        <v>66</v>
      </c>
      <c r="L51" s="4" t="s">
        <v>568</v>
      </c>
      <c r="M51" s="12" t="s">
        <v>569</v>
      </c>
      <c r="N51" s="12"/>
    </row>
    <row r="52" customFormat="false" ht="15" hidden="false" customHeight="false" outlineLevel="0" collapsed="false">
      <c r="A52" s="8" t="n">
        <v>51</v>
      </c>
      <c r="B52" s="9" t="s">
        <v>101</v>
      </c>
      <c r="C52" s="8" t="s">
        <v>14</v>
      </c>
      <c r="D52" s="10" t="s">
        <v>666</v>
      </c>
      <c r="E52" s="8" t="s">
        <v>25</v>
      </c>
      <c r="F52" s="8" t="s">
        <v>25</v>
      </c>
      <c r="G52" s="10" t="s">
        <v>103</v>
      </c>
      <c r="H52" s="11" t="s">
        <v>104</v>
      </c>
      <c r="I52" s="8" t="s">
        <v>566</v>
      </c>
      <c r="J52" s="8" t="s">
        <v>667</v>
      </c>
      <c r="K52" s="11" t="s">
        <v>105</v>
      </c>
      <c r="L52" s="8" t="s">
        <v>568</v>
      </c>
      <c r="M52" s="12" t="s">
        <v>569</v>
      </c>
      <c r="N52" s="12"/>
    </row>
    <row r="53" customFormat="false" ht="15" hidden="false" customHeight="false" outlineLevel="0" collapsed="false">
      <c r="A53" s="4" t="n">
        <v>52</v>
      </c>
      <c r="B53" s="6" t="s">
        <v>101</v>
      </c>
      <c r="C53" s="4" t="s">
        <v>14</v>
      </c>
      <c r="D53" s="13" t="s">
        <v>668</v>
      </c>
      <c r="E53" s="4" t="s">
        <v>25</v>
      </c>
      <c r="F53" s="4" t="s">
        <v>669</v>
      </c>
      <c r="G53" s="13" t="s">
        <v>435</v>
      </c>
      <c r="H53" s="11" t="s">
        <v>670</v>
      </c>
      <c r="I53" s="4" t="s">
        <v>566</v>
      </c>
      <c r="J53" s="4" t="s">
        <v>613</v>
      </c>
      <c r="K53" s="11" t="s">
        <v>105</v>
      </c>
      <c r="L53" s="4" t="s">
        <v>568</v>
      </c>
      <c r="M53" s="12" t="s">
        <v>569</v>
      </c>
      <c r="N53" s="12"/>
    </row>
    <row r="54" customFormat="false" ht="15" hidden="false" customHeight="false" outlineLevel="0" collapsed="false">
      <c r="A54" s="8" t="n">
        <v>53</v>
      </c>
      <c r="B54" s="9" t="s">
        <v>85</v>
      </c>
      <c r="C54" s="8" t="s">
        <v>14</v>
      </c>
      <c r="D54" s="10" t="s">
        <v>671</v>
      </c>
      <c r="E54" s="8" t="s">
        <v>25</v>
      </c>
      <c r="F54" s="8" t="s">
        <v>25</v>
      </c>
      <c r="G54" s="10" t="s">
        <v>87</v>
      </c>
      <c r="H54" s="11" t="s">
        <v>88</v>
      </c>
      <c r="I54" s="8" t="s">
        <v>566</v>
      </c>
      <c r="J54" s="8" t="s">
        <v>654</v>
      </c>
      <c r="K54" s="11" t="s">
        <v>89</v>
      </c>
      <c r="L54" s="8" t="s">
        <v>568</v>
      </c>
      <c r="M54" s="12" t="s">
        <v>569</v>
      </c>
      <c r="N54" s="12"/>
    </row>
    <row r="55" customFormat="false" ht="15" hidden="false" customHeight="false" outlineLevel="0" collapsed="false">
      <c r="A55" s="4" t="n">
        <v>54</v>
      </c>
      <c r="B55" s="6" t="s">
        <v>85</v>
      </c>
      <c r="C55" s="4" t="s">
        <v>14</v>
      </c>
      <c r="D55" s="13" t="s">
        <v>672</v>
      </c>
      <c r="E55" s="4" t="s">
        <v>27</v>
      </c>
      <c r="F55" s="4" t="s">
        <v>27</v>
      </c>
      <c r="G55" s="13" t="s">
        <v>87</v>
      </c>
      <c r="H55" s="11" t="s">
        <v>673</v>
      </c>
      <c r="I55" s="4" t="s">
        <v>566</v>
      </c>
      <c r="J55" s="4" t="s">
        <v>667</v>
      </c>
      <c r="K55" s="11" t="s">
        <v>89</v>
      </c>
      <c r="L55" s="4" t="s">
        <v>568</v>
      </c>
      <c r="M55" s="12" t="s">
        <v>569</v>
      </c>
      <c r="N55" s="12"/>
    </row>
    <row r="56" customFormat="false" ht="15" hidden="false" customHeight="false" outlineLevel="0" collapsed="false">
      <c r="A56" s="8" t="n">
        <v>55</v>
      </c>
      <c r="B56" s="9" t="s">
        <v>391</v>
      </c>
      <c r="C56" s="8" t="s">
        <v>14</v>
      </c>
      <c r="D56" s="10" t="s">
        <v>674</v>
      </c>
      <c r="E56" s="8" t="s">
        <v>25</v>
      </c>
      <c r="F56" s="8" t="s">
        <v>675</v>
      </c>
      <c r="G56" s="10" t="s">
        <v>42</v>
      </c>
      <c r="H56" s="11" t="s">
        <v>393</v>
      </c>
      <c r="I56" s="8" t="s">
        <v>577</v>
      </c>
      <c r="J56" s="8" t="s">
        <v>676</v>
      </c>
      <c r="K56" s="11" t="s">
        <v>394</v>
      </c>
      <c r="L56" s="8" t="s">
        <v>568</v>
      </c>
      <c r="M56" s="12" t="s">
        <v>569</v>
      </c>
      <c r="N56" s="12"/>
    </row>
    <row r="57" customFormat="false" ht="15" hidden="false" customHeight="false" outlineLevel="0" collapsed="false">
      <c r="A57" s="4" t="n">
        <v>56</v>
      </c>
      <c r="B57" s="6" t="s">
        <v>396</v>
      </c>
      <c r="C57" s="4" t="s">
        <v>14</v>
      </c>
      <c r="D57" s="13" t="s">
        <v>677</v>
      </c>
      <c r="E57" s="4" t="s">
        <v>25</v>
      </c>
      <c r="F57" s="4" t="s">
        <v>675</v>
      </c>
      <c r="G57" s="13" t="s">
        <v>369</v>
      </c>
      <c r="H57" s="11" t="s">
        <v>398</v>
      </c>
      <c r="I57" s="4" t="s">
        <v>577</v>
      </c>
      <c r="J57" s="4" t="s">
        <v>650</v>
      </c>
      <c r="K57" s="11" t="s">
        <v>399</v>
      </c>
      <c r="L57" s="4" t="s">
        <v>568</v>
      </c>
      <c r="M57" s="12" t="s">
        <v>569</v>
      </c>
      <c r="N57" s="12"/>
    </row>
    <row r="58" customFormat="false" ht="15" hidden="false" customHeight="false" outlineLevel="0" collapsed="false">
      <c r="A58" s="8" t="n">
        <v>57</v>
      </c>
      <c r="B58" s="9" t="s">
        <v>352</v>
      </c>
      <c r="C58" s="8" t="s">
        <v>14</v>
      </c>
      <c r="D58" s="10" t="s">
        <v>678</v>
      </c>
      <c r="E58" s="8" t="s">
        <v>25</v>
      </c>
      <c r="F58" s="8" t="s">
        <v>25</v>
      </c>
      <c r="G58" s="10" t="s">
        <v>42</v>
      </c>
      <c r="H58" s="11" t="s">
        <v>354</v>
      </c>
      <c r="I58" s="8" t="s">
        <v>566</v>
      </c>
      <c r="J58" s="8" t="s">
        <v>654</v>
      </c>
      <c r="K58" s="11" t="s">
        <v>355</v>
      </c>
      <c r="L58" s="8" t="s">
        <v>568</v>
      </c>
      <c r="M58" s="12" t="s">
        <v>569</v>
      </c>
      <c r="N58" s="12"/>
    </row>
    <row r="59" customFormat="false" ht="15" hidden="false" customHeight="false" outlineLevel="0" collapsed="false">
      <c r="A59" s="4" t="n">
        <v>58</v>
      </c>
      <c r="B59" s="6" t="s">
        <v>352</v>
      </c>
      <c r="C59" s="4" t="s">
        <v>14</v>
      </c>
      <c r="D59" s="13" t="s">
        <v>679</v>
      </c>
      <c r="E59" s="4" t="s">
        <v>25</v>
      </c>
      <c r="F59" s="4" t="s">
        <v>25</v>
      </c>
      <c r="G59" s="13" t="s">
        <v>42</v>
      </c>
      <c r="H59" s="11" t="s">
        <v>680</v>
      </c>
      <c r="I59" s="4" t="s">
        <v>566</v>
      </c>
      <c r="J59" s="4" t="s">
        <v>681</v>
      </c>
      <c r="K59" s="11" t="s">
        <v>355</v>
      </c>
      <c r="L59" s="4" t="s">
        <v>568</v>
      </c>
      <c r="M59" s="12" t="s">
        <v>569</v>
      </c>
      <c r="N59" s="12"/>
    </row>
    <row r="60" customFormat="false" ht="15" hidden="false" customHeight="false" outlineLevel="0" collapsed="false">
      <c r="A60" s="8" t="n">
        <v>59</v>
      </c>
      <c r="B60" s="9" t="s">
        <v>52</v>
      </c>
      <c r="C60" s="8" t="s">
        <v>14</v>
      </c>
      <c r="D60" s="10" t="s">
        <v>682</v>
      </c>
      <c r="E60" s="8" t="s">
        <v>25</v>
      </c>
      <c r="F60" s="8" t="s">
        <v>25</v>
      </c>
      <c r="G60" s="10" t="s">
        <v>54</v>
      </c>
      <c r="H60" s="11" t="s">
        <v>55</v>
      </c>
      <c r="I60" s="8" t="s">
        <v>566</v>
      </c>
      <c r="J60" s="8" t="s">
        <v>683</v>
      </c>
      <c r="K60" s="11" t="s">
        <v>56</v>
      </c>
      <c r="L60" s="8" t="s">
        <v>568</v>
      </c>
      <c r="M60" s="12" t="s">
        <v>569</v>
      </c>
      <c r="N60" s="12"/>
    </row>
    <row r="61" customFormat="false" ht="15" hidden="false" customHeight="false" outlineLevel="0" collapsed="false">
      <c r="A61" s="4" t="n">
        <v>60</v>
      </c>
      <c r="B61" s="6" t="s">
        <v>52</v>
      </c>
      <c r="C61" s="4" t="s">
        <v>14</v>
      </c>
      <c r="D61" s="13" t="s">
        <v>684</v>
      </c>
      <c r="E61" s="4" t="s">
        <v>27</v>
      </c>
      <c r="F61" s="4" t="s">
        <v>27</v>
      </c>
      <c r="G61" s="13" t="s">
        <v>54</v>
      </c>
      <c r="H61" s="11" t="s">
        <v>685</v>
      </c>
      <c r="I61" s="4" t="s">
        <v>566</v>
      </c>
      <c r="J61" s="4" t="s">
        <v>683</v>
      </c>
      <c r="K61" s="11" t="s">
        <v>56</v>
      </c>
      <c r="L61" s="4" t="s">
        <v>568</v>
      </c>
      <c r="M61" s="12" t="s">
        <v>569</v>
      </c>
      <c r="N61" s="12"/>
    </row>
    <row r="62" customFormat="false" ht="15" hidden="false" customHeight="false" outlineLevel="0" collapsed="false">
      <c r="A62" s="8" t="n">
        <v>61</v>
      </c>
      <c r="B62" s="9" t="s">
        <v>52</v>
      </c>
      <c r="C62" s="8" t="s">
        <v>14</v>
      </c>
      <c r="D62" s="10" t="s">
        <v>686</v>
      </c>
      <c r="E62" s="8" t="s">
        <v>27</v>
      </c>
      <c r="F62" s="8" t="s">
        <v>27</v>
      </c>
      <c r="G62" s="10" t="s">
        <v>54</v>
      </c>
      <c r="H62" s="11" t="s">
        <v>687</v>
      </c>
      <c r="I62" s="8" t="s">
        <v>566</v>
      </c>
      <c r="J62" s="8" t="s">
        <v>683</v>
      </c>
      <c r="K62" s="11" t="s">
        <v>56</v>
      </c>
      <c r="L62" s="8" t="s">
        <v>568</v>
      </c>
      <c r="M62" s="12" t="s">
        <v>569</v>
      </c>
      <c r="N62" s="12"/>
    </row>
    <row r="63" customFormat="false" ht="15" hidden="false" customHeight="false" outlineLevel="0" collapsed="false">
      <c r="A63" s="4" t="n">
        <v>62</v>
      </c>
      <c r="B63" s="6" t="s">
        <v>52</v>
      </c>
      <c r="C63" s="4" t="s">
        <v>14</v>
      </c>
      <c r="D63" s="13" t="s">
        <v>688</v>
      </c>
      <c r="E63" s="4" t="s">
        <v>25</v>
      </c>
      <c r="F63" s="4" t="s">
        <v>25</v>
      </c>
      <c r="G63" s="13" t="s">
        <v>689</v>
      </c>
      <c r="H63" s="11" t="s">
        <v>690</v>
      </c>
      <c r="I63" s="4" t="s">
        <v>566</v>
      </c>
      <c r="J63" s="4" t="s">
        <v>683</v>
      </c>
      <c r="K63" s="11" t="s">
        <v>691</v>
      </c>
      <c r="L63" s="4" t="s">
        <v>568</v>
      </c>
      <c r="M63" s="12" t="s">
        <v>569</v>
      </c>
      <c r="N63" s="12"/>
    </row>
    <row r="64" customFormat="false" ht="15" hidden="false" customHeight="false" outlineLevel="0" collapsed="false">
      <c r="A64" s="8" t="n">
        <v>63</v>
      </c>
      <c r="B64" s="9" t="s">
        <v>68</v>
      </c>
      <c r="C64" s="8" t="s">
        <v>14</v>
      </c>
      <c r="D64" s="10" t="s">
        <v>692</v>
      </c>
      <c r="E64" s="8" t="s">
        <v>25</v>
      </c>
      <c r="F64" s="8" t="s">
        <v>25</v>
      </c>
      <c r="G64" s="10" t="s">
        <v>69</v>
      </c>
      <c r="H64" s="11" t="s">
        <v>70</v>
      </c>
      <c r="I64" s="8" t="s">
        <v>566</v>
      </c>
      <c r="J64" s="8" t="s">
        <v>693</v>
      </c>
      <c r="K64" s="11" t="s">
        <v>71</v>
      </c>
      <c r="L64" s="8" t="s">
        <v>568</v>
      </c>
      <c r="M64" s="12" t="s">
        <v>569</v>
      </c>
      <c r="N64" s="12"/>
    </row>
    <row r="65" customFormat="false" ht="15" hidden="false" customHeight="false" outlineLevel="0" collapsed="false">
      <c r="A65" s="4" t="n">
        <v>64</v>
      </c>
      <c r="B65" s="6" t="s">
        <v>68</v>
      </c>
      <c r="C65" s="4" t="s">
        <v>14</v>
      </c>
      <c r="D65" s="13" t="s">
        <v>694</v>
      </c>
      <c r="E65" s="4" t="s">
        <v>25</v>
      </c>
      <c r="F65" s="4" t="s">
        <v>25</v>
      </c>
      <c r="G65" s="13" t="s">
        <v>87</v>
      </c>
      <c r="H65" s="11" t="s">
        <v>695</v>
      </c>
      <c r="I65" s="4" t="s">
        <v>566</v>
      </c>
      <c r="J65" s="4" t="s">
        <v>693</v>
      </c>
      <c r="K65" s="11" t="s">
        <v>71</v>
      </c>
      <c r="L65" s="4" t="s">
        <v>568</v>
      </c>
      <c r="M65" s="12" t="s">
        <v>569</v>
      </c>
      <c r="N65" s="12"/>
    </row>
    <row r="66" customFormat="false" ht="15" hidden="false" customHeight="false" outlineLevel="0" collapsed="false">
      <c r="A66" s="8" t="n">
        <v>65</v>
      </c>
      <c r="B66" s="9" t="s">
        <v>46</v>
      </c>
      <c r="C66" s="8" t="s">
        <v>14</v>
      </c>
      <c r="D66" s="10" t="s">
        <v>649</v>
      </c>
      <c r="E66" s="8" t="s">
        <v>25</v>
      </c>
      <c r="F66" s="8" t="s">
        <v>25</v>
      </c>
      <c r="G66" s="10" t="s">
        <v>42</v>
      </c>
      <c r="H66" s="11" t="s">
        <v>49</v>
      </c>
      <c r="I66" s="8" t="s">
        <v>566</v>
      </c>
      <c r="J66" s="8" t="s">
        <v>634</v>
      </c>
      <c r="K66" s="11" t="s">
        <v>50</v>
      </c>
      <c r="L66" s="8" t="s">
        <v>568</v>
      </c>
      <c r="M66" s="12" t="s">
        <v>569</v>
      </c>
      <c r="N66" s="12"/>
    </row>
    <row r="67" customFormat="false" ht="15" hidden="false" customHeight="false" outlineLevel="0" collapsed="false">
      <c r="A67" s="4" t="n">
        <v>66</v>
      </c>
      <c r="B67" s="6" t="s">
        <v>46</v>
      </c>
      <c r="C67" s="4" t="s">
        <v>14</v>
      </c>
      <c r="D67" s="13" t="s">
        <v>696</v>
      </c>
      <c r="E67" s="4" t="s">
        <v>26</v>
      </c>
      <c r="F67" s="4" t="s">
        <v>26</v>
      </c>
      <c r="G67" s="13" t="s">
        <v>42</v>
      </c>
      <c r="H67" s="11" t="s">
        <v>697</v>
      </c>
      <c r="I67" s="4" t="s">
        <v>566</v>
      </c>
      <c r="J67" s="4" t="s">
        <v>584</v>
      </c>
      <c r="K67" s="11" t="s">
        <v>50</v>
      </c>
      <c r="L67" s="4" t="s">
        <v>568</v>
      </c>
      <c r="M67" s="12" t="s">
        <v>569</v>
      </c>
      <c r="N67" s="12"/>
    </row>
    <row r="68" customFormat="false" ht="15" hidden="false" customHeight="false" outlineLevel="0" collapsed="false">
      <c r="A68" s="8" t="n">
        <v>67</v>
      </c>
      <c r="B68" s="9" t="s">
        <v>73</v>
      </c>
      <c r="C68" s="8" t="s">
        <v>14</v>
      </c>
      <c r="D68" s="10" t="s">
        <v>653</v>
      </c>
      <c r="E68" s="8" t="s">
        <v>25</v>
      </c>
      <c r="F68" s="8" t="s">
        <v>25</v>
      </c>
      <c r="G68" s="10" t="s">
        <v>75</v>
      </c>
      <c r="H68" s="11" t="s">
        <v>76</v>
      </c>
      <c r="I68" s="8" t="s">
        <v>566</v>
      </c>
      <c r="J68" s="8" t="s">
        <v>654</v>
      </c>
      <c r="K68" s="11" t="s">
        <v>77</v>
      </c>
      <c r="L68" s="8" t="s">
        <v>568</v>
      </c>
      <c r="M68" s="12" t="s">
        <v>569</v>
      </c>
      <c r="N68" s="12"/>
    </row>
    <row r="69" customFormat="false" ht="15" hidden="false" customHeight="false" outlineLevel="0" collapsed="false">
      <c r="A69" s="4" t="n">
        <v>68</v>
      </c>
      <c r="B69" s="6" t="s">
        <v>40</v>
      </c>
      <c r="C69" s="4" t="s">
        <v>14</v>
      </c>
      <c r="D69" s="13" t="s">
        <v>698</v>
      </c>
      <c r="E69" s="4" t="s">
        <v>25</v>
      </c>
      <c r="F69" s="4" t="s">
        <v>633</v>
      </c>
      <c r="G69" s="13" t="s">
        <v>42</v>
      </c>
      <c r="H69" s="11" t="s">
        <v>43</v>
      </c>
      <c r="I69" s="4" t="s">
        <v>566</v>
      </c>
      <c r="J69" s="4" t="s">
        <v>634</v>
      </c>
      <c r="K69" s="11" t="s">
        <v>44</v>
      </c>
      <c r="L69" s="4" t="s">
        <v>568</v>
      </c>
      <c r="M69" s="12" t="s">
        <v>569</v>
      </c>
      <c r="N69" s="12"/>
    </row>
    <row r="70" customFormat="false" ht="15" hidden="false" customHeight="false" outlineLevel="0" collapsed="false">
      <c r="A70" s="8" t="n">
        <v>69</v>
      </c>
      <c r="B70" s="9" t="s">
        <v>40</v>
      </c>
      <c r="C70" s="8" t="s">
        <v>14</v>
      </c>
      <c r="D70" s="10" t="s">
        <v>699</v>
      </c>
      <c r="E70" s="8" t="s">
        <v>25</v>
      </c>
      <c r="F70" s="8" t="s">
        <v>25</v>
      </c>
      <c r="G70" s="10" t="s">
        <v>42</v>
      </c>
      <c r="H70" s="11" t="s">
        <v>700</v>
      </c>
      <c r="I70" s="8" t="s">
        <v>566</v>
      </c>
      <c r="J70" s="8" t="s">
        <v>634</v>
      </c>
      <c r="K70" s="11" t="s">
        <v>44</v>
      </c>
      <c r="L70" s="8" t="s">
        <v>568</v>
      </c>
      <c r="M70" s="12" t="s">
        <v>569</v>
      </c>
      <c r="N70" s="12"/>
    </row>
    <row r="71" customFormat="false" ht="15" hidden="false" customHeight="false" outlineLevel="0" collapsed="false">
      <c r="A71" s="4" t="n">
        <v>70</v>
      </c>
      <c r="B71" s="6" t="s">
        <v>526</v>
      </c>
      <c r="C71" s="4" t="s">
        <v>14</v>
      </c>
      <c r="D71" s="13" t="s">
        <v>701</v>
      </c>
      <c r="E71" s="4" t="s">
        <v>25</v>
      </c>
      <c r="F71" s="4" t="s">
        <v>25</v>
      </c>
      <c r="G71" s="13" t="s">
        <v>42</v>
      </c>
      <c r="H71" s="11" t="s">
        <v>528</v>
      </c>
      <c r="I71" s="4" t="s">
        <v>566</v>
      </c>
      <c r="J71" s="4" t="s">
        <v>654</v>
      </c>
      <c r="K71" s="11" t="s">
        <v>529</v>
      </c>
      <c r="L71" s="4" t="s">
        <v>568</v>
      </c>
      <c r="M71" s="12" t="s">
        <v>569</v>
      </c>
      <c r="N71" s="12"/>
    </row>
    <row r="72" customFormat="false" ht="15" hidden="false" customHeight="false" outlineLevel="0" collapsed="false">
      <c r="A72" s="8" t="n">
        <v>71</v>
      </c>
      <c r="B72" s="9" t="s">
        <v>526</v>
      </c>
      <c r="C72" s="8" t="s">
        <v>14</v>
      </c>
      <c r="D72" s="10" t="s">
        <v>649</v>
      </c>
      <c r="E72" s="8" t="s">
        <v>25</v>
      </c>
      <c r="F72" s="8" t="s">
        <v>25</v>
      </c>
      <c r="G72" s="10" t="s">
        <v>42</v>
      </c>
      <c r="H72" s="11" t="s">
        <v>702</v>
      </c>
      <c r="I72" s="8" t="s">
        <v>566</v>
      </c>
      <c r="J72" s="8" t="s">
        <v>654</v>
      </c>
      <c r="K72" s="11" t="s">
        <v>529</v>
      </c>
      <c r="L72" s="8" t="s">
        <v>568</v>
      </c>
      <c r="M72" s="12" t="s">
        <v>569</v>
      </c>
      <c r="N72" s="12"/>
    </row>
    <row r="73" customFormat="false" ht="15" hidden="false" customHeight="false" outlineLevel="0" collapsed="false">
      <c r="A73" s="4" t="n">
        <v>72</v>
      </c>
      <c r="B73" s="6" t="s">
        <v>387</v>
      </c>
      <c r="C73" s="4" t="s">
        <v>14</v>
      </c>
      <c r="D73" s="13" t="s">
        <v>649</v>
      </c>
      <c r="E73" s="4" t="s">
        <v>25</v>
      </c>
      <c r="F73" s="4" t="s">
        <v>25</v>
      </c>
      <c r="G73" s="13" t="s">
        <v>42</v>
      </c>
      <c r="H73" s="11" t="s">
        <v>388</v>
      </c>
      <c r="I73" s="4" t="s">
        <v>566</v>
      </c>
      <c r="J73" s="4" t="s">
        <v>622</v>
      </c>
      <c r="K73" s="11" t="s">
        <v>389</v>
      </c>
      <c r="L73" s="4" t="s">
        <v>568</v>
      </c>
      <c r="M73" s="12" t="s">
        <v>569</v>
      </c>
      <c r="N73" s="12"/>
    </row>
    <row r="74" customFormat="false" ht="15" hidden="false" customHeight="false" outlineLevel="0" collapsed="false">
      <c r="A74" s="8" t="n">
        <v>73</v>
      </c>
      <c r="B74" s="9" t="s">
        <v>545</v>
      </c>
      <c r="C74" s="8" t="s">
        <v>14</v>
      </c>
      <c r="D74" s="10" t="s">
        <v>649</v>
      </c>
      <c r="E74" s="8" t="s">
        <v>25</v>
      </c>
      <c r="F74" s="8" t="s">
        <v>25</v>
      </c>
      <c r="G74" s="10" t="s">
        <v>42</v>
      </c>
      <c r="H74" s="11" t="s">
        <v>546</v>
      </c>
      <c r="I74" s="8" t="s">
        <v>566</v>
      </c>
      <c r="J74" s="8" t="s">
        <v>654</v>
      </c>
      <c r="K74" s="11" t="s">
        <v>547</v>
      </c>
      <c r="L74" s="8" t="s">
        <v>568</v>
      </c>
      <c r="M74" s="12" t="s">
        <v>569</v>
      </c>
      <c r="N74" s="12"/>
    </row>
    <row r="75" customFormat="false" ht="15" hidden="false" customHeight="false" outlineLevel="0" collapsed="false">
      <c r="A75" s="4" t="n">
        <v>74</v>
      </c>
      <c r="B75" s="6" t="s">
        <v>545</v>
      </c>
      <c r="C75" s="4" t="s">
        <v>14</v>
      </c>
      <c r="D75" s="13" t="s">
        <v>703</v>
      </c>
      <c r="E75" s="4" t="s">
        <v>25</v>
      </c>
      <c r="F75" s="4" t="s">
        <v>25</v>
      </c>
      <c r="G75" s="13" t="s">
        <v>42</v>
      </c>
      <c r="H75" s="11" t="s">
        <v>704</v>
      </c>
      <c r="I75" s="4" t="s">
        <v>566</v>
      </c>
      <c r="J75" s="4" t="s">
        <v>657</v>
      </c>
      <c r="K75" s="11" t="s">
        <v>547</v>
      </c>
      <c r="L75" s="4" t="s">
        <v>568</v>
      </c>
      <c r="M75" s="12" t="s">
        <v>569</v>
      </c>
      <c r="N75" s="12"/>
    </row>
    <row r="76" customFormat="false" ht="15" hidden="false" customHeight="false" outlineLevel="0" collapsed="false">
      <c r="A76" s="8" t="n">
        <v>75</v>
      </c>
      <c r="B76" s="9" t="s">
        <v>461</v>
      </c>
      <c r="C76" s="8" t="s">
        <v>14</v>
      </c>
      <c r="D76" s="10" t="s">
        <v>705</v>
      </c>
      <c r="E76" s="8" t="s">
        <v>27</v>
      </c>
      <c r="F76" s="8" t="s">
        <v>664</v>
      </c>
      <c r="G76" s="10" t="s">
        <v>171</v>
      </c>
      <c r="H76" s="11" t="s">
        <v>463</v>
      </c>
      <c r="I76" s="8" t="s">
        <v>566</v>
      </c>
      <c r="J76" s="8" t="s">
        <v>654</v>
      </c>
      <c r="K76" s="11" t="s">
        <v>464</v>
      </c>
      <c r="L76" s="8" t="s">
        <v>568</v>
      </c>
      <c r="M76" s="12" t="s">
        <v>569</v>
      </c>
      <c r="N76" s="12"/>
    </row>
    <row r="77" customFormat="false" ht="15" hidden="false" customHeight="false" outlineLevel="0" collapsed="false">
      <c r="A77" s="4" t="n">
        <v>76</v>
      </c>
      <c r="B77" s="6" t="s">
        <v>124</v>
      </c>
      <c r="C77" s="4" t="s">
        <v>15</v>
      </c>
      <c r="D77" s="13" t="s">
        <v>706</v>
      </c>
      <c r="E77" s="4" t="s">
        <v>25</v>
      </c>
      <c r="F77" s="4" t="s">
        <v>25</v>
      </c>
      <c r="G77" s="13" t="s">
        <v>87</v>
      </c>
      <c r="H77" s="11" t="s">
        <v>126</v>
      </c>
      <c r="I77" s="4" t="s">
        <v>566</v>
      </c>
      <c r="J77" s="4" t="s">
        <v>667</v>
      </c>
      <c r="K77" s="11" t="s">
        <v>127</v>
      </c>
      <c r="L77" s="4" t="s">
        <v>568</v>
      </c>
      <c r="M77" s="12" t="s">
        <v>569</v>
      </c>
      <c r="N77" s="12"/>
    </row>
    <row r="78" customFormat="false" ht="15" hidden="false" customHeight="false" outlineLevel="0" collapsed="false">
      <c r="A78" s="8" t="n">
        <v>77</v>
      </c>
      <c r="B78" s="9" t="s">
        <v>124</v>
      </c>
      <c r="C78" s="8" t="s">
        <v>15</v>
      </c>
      <c r="D78" s="10" t="s">
        <v>707</v>
      </c>
      <c r="E78" s="8" t="s">
        <v>25</v>
      </c>
      <c r="F78" s="8" t="s">
        <v>25</v>
      </c>
      <c r="G78" s="10" t="s">
        <v>87</v>
      </c>
      <c r="H78" s="11" t="s">
        <v>708</v>
      </c>
      <c r="I78" s="8" t="s">
        <v>566</v>
      </c>
      <c r="J78" s="8" t="s">
        <v>681</v>
      </c>
      <c r="K78" s="11" t="s">
        <v>127</v>
      </c>
      <c r="L78" s="8" t="s">
        <v>568</v>
      </c>
      <c r="M78" s="12" t="s">
        <v>569</v>
      </c>
      <c r="N78" s="12"/>
    </row>
    <row r="79" customFormat="false" ht="15" hidden="false" customHeight="false" outlineLevel="0" collapsed="false">
      <c r="A79" s="4" t="n">
        <v>78</v>
      </c>
      <c r="B79" s="6" t="s">
        <v>124</v>
      </c>
      <c r="C79" s="4" t="s">
        <v>15</v>
      </c>
      <c r="D79" s="13" t="s">
        <v>709</v>
      </c>
      <c r="E79" s="4" t="s">
        <v>25</v>
      </c>
      <c r="F79" s="4" t="s">
        <v>25</v>
      </c>
      <c r="G79" s="13" t="s">
        <v>87</v>
      </c>
      <c r="H79" s="11" t="s">
        <v>710</v>
      </c>
      <c r="I79" s="4" t="s">
        <v>566</v>
      </c>
      <c r="J79" s="4" t="s">
        <v>667</v>
      </c>
      <c r="K79" s="11" t="s">
        <v>127</v>
      </c>
      <c r="L79" s="4" t="s">
        <v>568</v>
      </c>
      <c r="M79" s="12" t="s">
        <v>569</v>
      </c>
      <c r="N79" s="12"/>
    </row>
    <row r="80" customFormat="false" ht="15" hidden="false" customHeight="false" outlineLevel="0" collapsed="false">
      <c r="A80" s="8" t="n">
        <v>79</v>
      </c>
      <c r="B80" s="9" t="s">
        <v>178</v>
      </c>
      <c r="C80" s="8" t="s">
        <v>15</v>
      </c>
      <c r="D80" s="10" t="s">
        <v>711</v>
      </c>
      <c r="E80" s="8" t="s">
        <v>25</v>
      </c>
      <c r="F80" s="8" t="s">
        <v>25</v>
      </c>
      <c r="G80" s="10" t="s">
        <v>171</v>
      </c>
      <c r="H80" s="11" t="s">
        <v>179</v>
      </c>
      <c r="I80" s="8" t="s">
        <v>566</v>
      </c>
      <c r="J80" s="8" t="s">
        <v>667</v>
      </c>
      <c r="K80" s="11" t="s">
        <v>180</v>
      </c>
      <c r="L80" s="8" t="s">
        <v>568</v>
      </c>
      <c r="M80" s="12" t="s">
        <v>569</v>
      </c>
      <c r="N80" s="12"/>
    </row>
    <row r="81" customFormat="false" ht="15" hidden="false" customHeight="false" outlineLevel="0" collapsed="false">
      <c r="A81" s="4" t="n">
        <v>80</v>
      </c>
      <c r="B81" s="6" t="s">
        <v>178</v>
      </c>
      <c r="C81" s="4" t="s">
        <v>15</v>
      </c>
      <c r="D81" s="13" t="s">
        <v>712</v>
      </c>
      <c r="E81" s="4" t="s">
        <v>25</v>
      </c>
      <c r="F81" s="4" t="s">
        <v>25</v>
      </c>
      <c r="G81" s="13" t="s">
        <v>171</v>
      </c>
      <c r="H81" s="11" t="s">
        <v>713</v>
      </c>
      <c r="I81" s="4" t="s">
        <v>566</v>
      </c>
      <c r="J81" s="4" t="s">
        <v>714</v>
      </c>
      <c r="K81" s="11" t="s">
        <v>180</v>
      </c>
      <c r="L81" s="4" t="s">
        <v>568</v>
      </c>
      <c r="M81" s="12" t="s">
        <v>569</v>
      </c>
      <c r="N81" s="12"/>
    </row>
    <row r="82" customFormat="false" ht="15" hidden="false" customHeight="false" outlineLevel="0" collapsed="false">
      <c r="A82" s="8" t="n">
        <v>81</v>
      </c>
      <c r="B82" s="9" t="s">
        <v>178</v>
      </c>
      <c r="C82" s="8" t="s">
        <v>15</v>
      </c>
      <c r="D82" s="10" t="s">
        <v>715</v>
      </c>
      <c r="E82" s="8" t="s">
        <v>25</v>
      </c>
      <c r="F82" s="8" t="s">
        <v>25</v>
      </c>
      <c r="G82" s="10" t="s">
        <v>171</v>
      </c>
      <c r="H82" s="11" t="s">
        <v>716</v>
      </c>
      <c r="I82" s="8" t="s">
        <v>566</v>
      </c>
      <c r="J82" s="8" t="s">
        <v>681</v>
      </c>
      <c r="K82" s="11" t="s">
        <v>180</v>
      </c>
      <c r="L82" s="8" t="s">
        <v>568</v>
      </c>
      <c r="M82" s="12" t="s">
        <v>569</v>
      </c>
      <c r="N82" s="12"/>
    </row>
    <row r="83" customFormat="false" ht="15" hidden="false" customHeight="false" outlineLevel="0" collapsed="false">
      <c r="A83" s="4" t="n">
        <v>82</v>
      </c>
      <c r="B83" s="6" t="s">
        <v>197</v>
      </c>
      <c r="C83" s="4" t="s">
        <v>15</v>
      </c>
      <c r="D83" s="13" t="s">
        <v>717</v>
      </c>
      <c r="E83" s="4" t="s">
        <v>25</v>
      </c>
      <c r="F83" s="4" t="s">
        <v>25</v>
      </c>
      <c r="G83" s="13" t="s">
        <v>171</v>
      </c>
      <c r="H83" s="11" t="s">
        <v>198</v>
      </c>
      <c r="I83" s="4" t="s">
        <v>566</v>
      </c>
      <c r="J83" s="4" t="s">
        <v>625</v>
      </c>
      <c r="K83" s="11" t="s">
        <v>199</v>
      </c>
      <c r="L83" s="4" t="s">
        <v>568</v>
      </c>
      <c r="M83" s="12" t="s">
        <v>569</v>
      </c>
      <c r="N83" s="12"/>
    </row>
    <row r="84" customFormat="false" ht="15" hidden="false" customHeight="false" outlineLevel="0" collapsed="false">
      <c r="A84" s="8" t="n">
        <v>83</v>
      </c>
      <c r="B84" s="9" t="s">
        <v>213</v>
      </c>
      <c r="C84" s="8" t="s">
        <v>15</v>
      </c>
      <c r="D84" s="10" t="s">
        <v>718</v>
      </c>
      <c r="E84" s="8" t="s">
        <v>25</v>
      </c>
      <c r="F84" s="8" t="s">
        <v>25</v>
      </c>
      <c r="G84" s="10" t="s">
        <v>214</v>
      </c>
      <c r="H84" s="11" t="s">
        <v>215</v>
      </c>
      <c r="I84" s="8" t="s">
        <v>566</v>
      </c>
      <c r="J84" s="8" t="s">
        <v>567</v>
      </c>
      <c r="K84" s="11" t="s">
        <v>216</v>
      </c>
      <c r="L84" s="8" t="s">
        <v>568</v>
      </c>
      <c r="M84" s="12" t="s">
        <v>569</v>
      </c>
      <c r="N84" s="12"/>
    </row>
    <row r="85" customFormat="false" ht="15" hidden="false" customHeight="false" outlineLevel="0" collapsed="false">
      <c r="A85" s="4" t="n">
        <v>84</v>
      </c>
      <c r="B85" s="6" t="s">
        <v>213</v>
      </c>
      <c r="C85" s="4" t="s">
        <v>15</v>
      </c>
      <c r="D85" s="13" t="s">
        <v>719</v>
      </c>
      <c r="E85" s="4" t="s">
        <v>25</v>
      </c>
      <c r="F85" s="4" t="s">
        <v>25</v>
      </c>
      <c r="G85" s="13" t="s">
        <v>214</v>
      </c>
      <c r="H85" s="11" t="s">
        <v>720</v>
      </c>
      <c r="I85" s="4" t="s">
        <v>566</v>
      </c>
      <c r="J85" s="4" t="s">
        <v>567</v>
      </c>
      <c r="K85" s="11" t="s">
        <v>216</v>
      </c>
      <c r="L85" s="4" t="s">
        <v>568</v>
      </c>
      <c r="M85" s="12" t="s">
        <v>569</v>
      </c>
      <c r="N85" s="12"/>
    </row>
    <row r="86" customFormat="false" ht="23.85" hidden="false" customHeight="false" outlineLevel="0" collapsed="false">
      <c r="A86" s="8" t="n">
        <v>85</v>
      </c>
      <c r="B86" s="9" t="s">
        <v>421</v>
      </c>
      <c r="C86" s="8" t="s">
        <v>15</v>
      </c>
      <c r="D86" s="10" t="s">
        <v>721</v>
      </c>
      <c r="E86" s="8" t="s">
        <v>24</v>
      </c>
      <c r="F86" s="8" t="s">
        <v>722</v>
      </c>
      <c r="G86" s="10" t="s">
        <v>423</v>
      </c>
      <c r="H86" s="11" t="s">
        <v>424</v>
      </c>
      <c r="I86" s="8" t="s">
        <v>577</v>
      </c>
      <c r="J86" s="8" t="s">
        <v>723</v>
      </c>
      <c r="K86" s="11" t="s">
        <v>425</v>
      </c>
      <c r="L86" s="8" t="s">
        <v>568</v>
      </c>
      <c r="M86" s="12" t="s">
        <v>569</v>
      </c>
      <c r="N86" s="12"/>
    </row>
    <row r="87" customFormat="false" ht="15" hidden="false" customHeight="false" outlineLevel="0" collapsed="false">
      <c r="A87" s="4" t="n">
        <v>86</v>
      </c>
      <c r="B87" s="6" t="s">
        <v>200</v>
      </c>
      <c r="C87" s="4" t="s">
        <v>15</v>
      </c>
      <c r="D87" s="13" t="s">
        <v>724</v>
      </c>
      <c r="E87" s="4" t="s">
        <v>26</v>
      </c>
      <c r="F87" s="4" t="s">
        <v>725</v>
      </c>
      <c r="G87" s="13" t="s">
        <v>171</v>
      </c>
      <c r="H87" s="11" t="s">
        <v>201</v>
      </c>
      <c r="I87" s="4" t="s">
        <v>566</v>
      </c>
      <c r="J87" s="4" t="s">
        <v>567</v>
      </c>
      <c r="K87" s="11" t="s">
        <v>202</v>
      </c>
      <c r="L87" s="4" t="s">
        <v>568</v>
      </c>
      <c r="M87" s="12" t="s">
        <v>569</v>
      </c>
      <c r="N87" s="12"/>
    </row>
    <row r="88" customFormat="false" ht="15" hidden="false" customHeight="false" outlineLevel="0" collapsed="false">
      <c r="A88" s="8" t="n">
        <v>87</v>
      </c>
      <c r="B88" s="9" t="s">
        <v>218</v>
      </c>
      <c r="C88" s="8" t="s">
        <v>15</v>
      </c>
      <c r="D88" s="10" t="s">
        <v>726</v>
      </c>
      <c r="E88" s="8" t="s">
        <v>25</v>
      </c>
      <c r="F88" s="8" t="s">
        <v>25</v>
      </c>
      <c r="G88" s="10" t="s">
        <v>171</v>
      </c>
      <c r="H88" s="11" t="s">
        <v>219</v>
      </c>
      <c r="I88" s="8" t="s">
        <v>566</v>
      </c>
      <c r="J88" s="8" t="s">
        <v>727</v>
      </c>
      <c r="K88" s="11" t="s">
        <v>220</v>
      </c>
      <c r="L88" s="8" t="s">
        <v>568</v>
      </c>
      <c r="M88" s="12" t="s">
        <v>569</v>
      </c>
      <c r="N88" s="12"/>
    </row>
    <row r="89" customFormat="false" ht="15" hidden="false" customHeight="false" outlineLevel="0" collapsed="false">
      <c r="A89" s="4" t="n">
        <v>88</v>
      </c>
      <c r="B89" s="6" t="s">
        <v>448</v>
      </c>
      <c r="C89" s="4" t="s">
        <v>15</v>
      </c>
      <c r="D89" s="13" t="s">
        <v>728</v>
      </c>
      <c r="E89" s="4" t="s">
        <v>25</v>
      </c>
      <c r="F89" s="4" t="s">
        <v>729</v>
      </c>
      <c r="G89" s="13" t="s">
        <v>171</v>
      </c>
      <c r="H89" s="11" t="s">
        <v>449</v>
      </c>
      <c r="I89" s="4" t="s">
        <v>577</v>
      </c>
      <c r="J89" s="4" t="s">
        <v>667</v>
      </c>
      <c r="K89" s="11" t="s">
        <v>450</v>
      </c>
      <c r="L89" s="4" t="s">
        <v>568</v>
      </c>
      <c r="M89" s="12" t="s">
        <v>569</v>
      </c>
      <c r="N89" s="12"/>
    </row>
    <row r="90" customFormat="false" ht="15" hidden="false" customHeight="false" outlineLevel="0" collapsed="false">
      <c r="A90" s="8" t="n">
        <v>89</v>
      </c>
      <c r="B90" s="9" t="s">
        <v>401</v>
      </c>
      <c r="C90" s="8" t="s">
        <v>15</v>
      </c>
      <c r="D90" s="10" t="s">
        <v>730</v>
      </c>
      <c r="E90" s="8" t="s">
        <v>25</v>
      </c>
      <c r="F90" s="8" t="s">
        <v>25</v>
      </c>
      <c r="G90" s="10" t="s">
        <v>42</v>
      </c>
      <c r="H90" s="11" t="s">
        <v>403</v>
      </c>
      <c r="I90" s="8" t="s">
        <v>566</v>
      </c>
      <c r="J90" s="8" t="s">
        <v>731</v>
      </c>
      <c r="K90" s="11" t="s">
        <v>404</v>
      </c>
      <c r="L90" s="8" t="s">
        <v>568</v>
      </c>
      <c r="M90" s="12" t="s">
        <v>569</v>
      </c>
      <c r="N90" s="12"/>
    </row>
    <row r="91" customFormat="false" ht="15" hidden="false" customHeight="false" outlineLevel="0" collapsed="false">
      <c r="A91" s="4" t="n">
        <v>90</v>
      </c>
      <c r="B91" s="6" t="s">
        <v>401</v>
      </c>
      <c r="C91" s="4" t="s">
        <v>15</v>
      </c>
      <c r="D91" s="13" t="s">
        <v>732</v>
      </c>
      <c r="E91" s="4" t="s">
        <v>25</v>
      </c>
      <c r="F91" s="4" t="s">
        <v>25</v>
      </c>
      <c r="G91" s="13" t="s">
        <v>42</v>
      </c>
      <c r="H91" s="11" t="s">
        <v>733</v>
      </c>
      <c r="I91" s="4" t="s">
        <v>566</v>
      </c>
      <c r="J91" s="4" t="s">
        <v>622</v>
      </c>
      <c r="K91" s="11" t="s">
        <v>404</v>
      </c>
      <c r="L91" s="4" t="s">
        <v>568</v>
      </c>
      <c r="M91" s="12" t="s">
        <v>569</v>
      </c>
      <c r="N91" s="12"/>
    </row>
    <row r="92" customFormat="false" ht="15" hidden="false" customHeight="false" outlineLevel="0" collapsed="false">
      <c r="A92" s="8" t="n">
        <v>91</v>
      </c>
      <c r="B92" s="9" t="s">
        <v>401</v>
      </c>
      <c r="C92" s="8" t="s">
        <v>15</v>
      </c>
      <c r="D92" s="10" t="s">
        <v>734</v>
      </c>
      <c r="E92" s="8" t="s">
        <v>26</v>
      </c>
      <c r="F92" s="8" t="s">
        <v>735</v>
      </c>
      <c r="G92" s="10" t="s">
        <v>42</v>
      </c>
      <c r="H92" s="11" t="s">
        <v>736</v>
      </c>
      <c r="I92" s="8" t="s">
        <v>566</v>
      </c>
      <c r="J92" s="8" t="s">
        <v>567</v>
      </c>
      <c r="K92" s="11" t="s">
        <v>404</v>
      </c>
      <c r="L92" s="8" t="s">
        <v>568</v>
      </c>
      <c r="M92" s="12" t="s">
        <v>569</v>
      </c>
      <c r="N92" s="12"/>
    </row>
    <row r="93" customFormat="false" ht="15" hidden="false" customHeight="false" outlineLevel="0" collapsed="false">
      <c r="A93" s="4" t="n">
        <v>92</v>
      </c>
      <c r="B93" s="6" t="s">
        <v>169</v>
      </c>
      <c r="C93" s="4" t="s">
        <v>15</v>
      </c>
      <c r="D93" s="13" t="s">
        <v>737</v>
      </c>
      <c r="E93" s="4" t="s">
        <v>25</v>
      </c>
      <c r="F93" s="4" t="s">
        <v>25</v>
      </c>
      <c r="G93" s="13" t="s">
        <v>171</v>
      </c>
      <c r="H93" s="11" t="s">
        <v>172</v>
      </c>
      <c r="I93" s="4" t="s">
        <v>577</v>
      </c>
      <c r="J93" s="4" t="s">
        <v>604</v>
      </c>
      <c r="K93" s="11" t="s">
        <v>173</v>
      </c>
      <c r="L93" s="4" t="s">
        <v>568</v>
      </c>
      <c r="M93" s="12" t="s">
        <v>569</v>
      </c>
      <c r="N93" s="12"/>
    </row>
    <row r="94" customFormat="false" ht="15" hidden="false" customHeight="false" outlineLevel="0" collapsed="false">
      <c r="A94" s="8" t="n">
        <v>93</v>
      </c>
      <c r="B94" s="9" t="s">
        <v>204</v>
      </c>
      <c r="C94" s="8" t="s">
        <v>15</v>
      </c>
      <c r="D94" s="10" t="s">
        <v>738</v>
      </c>
      <c r="E94" s="8" t="s">
        <v>25</v>
      </c>
      <c r="F94" s="8" t="s">
        <v>669</v>
      </c>
      <c r="G94" s="10" t="s">
        <v>205</v>
      </c>
      <c r="H94" s="11" t="s">
        <v>206</v>
      </c>
      <c r="I94" s="8" t="s">
        <v>577</v>
      </c>
      <c r="J94" s="8" t="s">
        <v>567</v>
      </c>
      <c r="K94" s="11" t="s">
        <v>206</v>
      </c>
      <c r="L94" s="8" t="s">
        <v>568</v>
      </c>
      <c r="M94" s="12" t="s">
        <v>569</v>
      </c>
      <c r="N94" s="12"/>
    </row>
    <row r="95" customFormat="false" ht="15" hidden="false" customHeight="false" outlineLevel="0" collapsed="false">
      <c r="A95" s="4" t="n">
        <v>94</v>
      </c>
      <c r="B95" s="6" t="s">
        <v>175</v>
      </c>
      <c r="C95" s="4" t="s">
        <v>15</v>
      </c>
      <c r="D95" s="13" t="s">
        <v>739</v>
      </c>
      <c r="E95" s="4" t="s">
        <v>25</v>
      </c>
      <c r="F95" s="4" t="s">
        <v>25</v>
      </c>
      <c r="G95" s="13" t="s">
        <v>171</v>
      </c>
      <c r="H95" s="11" t="s">
        <v>176</v>
      </c>
      <c r="I95" s="4" t="s">
        <v>566</v>
      </c>
      <c r="J95" s="4" t="s">
        <v>667</v>
      </c>
      <c r="K95" s="11" t="s">
        <v>177</v>
      </c>
      <c r="L95" s="4" t="s">
        <v>568</v>
      </c>
      <c r="M95" s="12" t="s">
        <v>569</v>
      </c>
      <c r="N95" s="12"/>
    </row>
    <row r="96" customFormat="false" ht="15" hidden="false" customHeight="false" outlineLevel="0" collapsed="false">
      <c r="A96" s="8" t="n">
        <v>95</v>
      </c>
      <c r="B96" s="9" t="s">
        <v>379</v>
      </c>
      <c r="C96" s="8" t="s">
        <v>15</v>
      </c>
      <c r="D96" s="10" t="s">
        <v>649</v>
      </c>
      <c r="E96" s="8" t="s">
        <v>25</v>
      </c>
      <c r="F96" s="8" t="s">
        <v>25</v>
      </c>
      <c r="G96" s="10" t="s">
        <v>171</v>
      </c>
      <c r="H96" s="11" t="s">
        <v>380</v>
      </c>
      <c r="I96" s="8" t="s">
        <v>566</v>
      </c>
      <c r="J96" s="8" t="s">
        <v>654</v>
      </c>
      <c r="K96" s="11" t="s">
        <v>381</v>
      </c>
      <c r="L96" s="8" t="s">
        <v>568</v>
      </c>
      <c r="M96" s="12" t="s">
        <v>569</v>
      </c>
      <c r="N96" s="12"/>
    </row>
    <row r="97" customFormat="false" ht="15" hidden="false" customHeight="false" outlineLevel="0" collapsed="false">
      <c r="A97" s="4" t="n">
        <v>96</v>
      </c>
      <c r="B97" s="6" t="s">
        <v>379</v>
      </c>
      <c r="C97" s="4" t="s">
        <v>15</v>
      </c>
      <c r="D97" s="13" t="s">
        <v>740</v>
      </c>
      <c r="E97" s="4" t="s">
        <v>25</v>
      </c>
      <c r="F97" s="4" t="s">
        <v>25</v>
      </c>
      <c r="G97" s="13" t="s">
        <v>171</v>
      </c>
      <c r="H97" s="11" t="s">
        <v>741</v>
      </c>
      <c r="I97" s="4" t="s">
        <v>566</v>
      </c>
      <c r="J97" s="4" t="s">
        <v>598</v>
      </c>
      <c r="K97" s="11" t="s">
        <v>381</v>
      </c>
      <c r="L97" s="4" t="s">
        <v>568</v>
      </c>
      <c r="M97" s="12" t="s">
        <v>569</v>
      </c>
      <c r="N97" s="12"/>
    </row>
    <row r="98" customFormat="false" ht="15" hidden="false" customHeight="false" outlineLevel="0" collapsed="false">
      <c r="A98" s="8" t="n">
        <v>97</v>
      </c>
      <c r="B98" s="9" t="s">
        <v>495</v>
      </c>
      <c r="C98" s="8" t="s">
        <v>15</v>
      </c>
      <c r="D98" s="10" t="s">
        <v>742</v>
      </c>
      <c r="E98" s="8" t="s">
        <v>25</v>
      </c>
      <c r="F98" s="8" t="s">
        <v>25</v>
      </c>
      <c r="G98" s="10" t="s">
        <v>171</v>
      </c>
      <c r="H98" s="11" t="s">
        <v>496</v>
      </c>
      <c r="I98" s="8" t="s">
        <v>566</v>
      </c>
      <c r="J98" s="8" t="s">
        <v>667</v>
      </c>
      <c r="K98" s="11" t="s">
        <v>497</v>
      </c>
      <c r="L98" s="8" t="s">
        <v>568</v>
      </c>
      <c r="M98" s="12" t="s">
        <v>569</v>
      </c>
      <c r="N98" s="12"/>
    </row>
    <row r="99" customFormat="false" ht="15" hidden="false" customHeight="false" outlineLevel="0" collapsed="false">
      <c r="A99" s="4" t="n">
        <v>98</v>
      </c>
      <c r="B99" s="6" t="s">
        <v>495</v>
      </c>
      <c r="C99" s="4" t="s">
        <v>15</v>
      </c>
      <c r="D99" s="13" t="s">
        <v>743</v>
      </c>
      <c r="E99" s="4" t="s">
        <v>25</v>
      </c>
      <c r="F99" s="4" t="s">
        <v>25</v>
      </c>
      <c r="G99" s="13" t="s">
        <v>171</v>
      </c>
      <c r="H99" s="11" t="s">
        <v>744</v>
      </c>
      <c r="I99" s="4" t="s">
        <v>566</v>
      </c>
      <c r="J99" s="4" t="s">
        <v>667</v>
      </c>
      <c r="K99" s="11" t="s">
        <v>497</v>
      </c>
      <c r="L99" s="4" t="s">
        <v>568</v>
      </c>
      <c r="M99" s="12" t="s">
        <v>569</v>
      </c>
      <c r="N99" s="12"/>
    </row>
    <row r="100" customFormat="false" ht="15" hidden="false" customHeight="false" outlineLevel="0" collapsed="false">
      <c r="A100" s="8" t="n">
        <v>99</v>
      </c>
      <c r="B100" s="9" t="s">
        <v>129</v>
      </c>
      <c r="C100" s="8" t="s">
        <v>15</v>
      </c>
      <c r="D100" s="10" t="s">
        <v>745</v>
      </c>
      <c r="E100" s="8" t="s">
        <v>25</v>
      </c>
      <c r="F100" s="8" t="s">
        <v>25</v>
      </c>
      <c r="G100" s="10" t="s">
        <v>131</v>
      </c>
      <c r="H100" s="11" t="s">
        <v>132</v>
      </c>
      <c r="I100" s="8" t="s">
        <v>566</v>
      </c>
      <c r="J100" s="8" t="s">
        <v>622</v>
      </c>
      <c r="K100" s="11" t="s">
        <v>133</v>
      </c>
      <c r="L100" s="8" t="s">
        <v>568</v>
      </c>
      <c r="M100" s="12" t="s">
        <v>569</v>
      </c>
      <c r="N100" s="12"/>
    </row>
    <row r="101" customFormat="false" ht="15" hidden="false" customHeight="false" outlineLevel="0" collapsed="false">
      <c r="A101" s="4" t="n">
        <v>100</v>
      </c>
      <c r="B101" s="6" t="s">
        <v>191</v>
      </c>
      <c r="C101" s="4" t="s">
        <v>15</v>
      </c>
      <c r="D101" s="13" t="s">
        <v>746</v>
      </c>
      <c r="E101" s="4" t="s">
        <v>25</v>
      </c>
      <c r="F101" s="4" t="s">
        <v>25</v>
      </c>
      <c r="G101" s="13" t="s">
        <v>171</v>
      </c>
      <c r="H101" s="11" t="s">
        <v>194</v>
      </c>
      <c r="I101" s="4" t="s">
        <v>566</v>
      </c>
      <c r="J101" s="4" t="s">
        <v>625</v>
      </c>
      <c r="K101" s="11" t="s">
        <v>195</v>
      </c>
      <c r="L101" s="4" t="s">
        <v>568</v>
      </c>
      <c r="M101" s="12" t="s">
        <v>569</v>
      </c>
      <c r="N101" s="12"/>
    </row>
    <row r="102" customFormat="false" ht="15" hidden="false" customHeight="false" outlineLevel="0" collapsed="false">
      <c r="A102" s="8" t="n">
        <v>101</v>
      </c>
      <c r="B102" s="9" t="s">
        <v>191</v>
      </c>
      <c r="C102" s="8" t="s">
        <v>15</v>
      </c>
      <c r="D102" s="10" t="s">
        <v>747</v>
      </c>
      <c r="E102" s="8" t="s">
        <v>25</v>
      </c>
      <c r="F102" s="8" t="s">
        <v>25</v>
      </c>
      <c r="G102" s="10" t="s">
        <v>42</v>
      </c>
      <c r="H102" s="11" t="s">
        <v>748</v>
      </c>
      <c r="I102" s="8" t="s">
        <v>566</v>
      </c>
      <c r="J102" s="8" t="s">
        <v>727</v>
      </c>
      <c r="K102" s="11" t="s">
        <v>195</v>
      </c>
      <c r="L102" s="8" t="s">
        <v>568</v>
      </c>
      <c r="M102" s="12" t="s">
        <v>569</v>
      </c>
      <c r="N102" s="12"/>
    </row>
    <row r="103" customFormat="false" ht="15" hidden="false" customHeight="false" outlineLevel="0" collapsed="false">
      <c r="A103" s="4" t="n">
        <v>102</v>
      </c>
      <c r="B103" s="6" t="s">
        <v>182</v>
      </c>
      <c r="C103" s="4" t="s">
        <v>15</v>
      </c>
      <c r="D103" s="13" t="s">
        <v>749</v>
      </c>
      <c r="E103" s="4" t="s">
        <v>25</v>
      </c>
      <c r="F103" s="4" t="s">
        <v>25</v>
      </c>
      <c r="G103" s="13" t="s">
        <v>171</v>
      </c>
      <c r="H103" s="11" t="s">
        <v>183</v>
      </c>
      <c r="I103" s="4" t="s">
        <v>566</v>
      </c>
      <c r="J103" s="4" t="s">
        <v>750</v>
      </c>
      <c r="K103" s="11" t="s">
        <v>184</v>
      </c>
      <c r="L103" s="4" t="s">
        <v>568</v>
      </c>
      <c r="M103" s="12" t="s">
        <v>569</v>
      </c>
      <c r="N103" s="12"/>
    </row>
    <row r="104" customFormat="false" ht="15" hidden="false" customHeight="false" outlineLevel="0" collapsed="false">
      <c r="A104" s="8" t="n">
        <v>103</v>
      </c>
      <c r="B104" s="9" t="s">
        <v>415</v>
      </c>
      <c r="C104" s="8" t="s">
        <v>15</v>
      </c>
      <c r="D104" s="10" t="s">
        <v>751</v>
      </c>
      <c r="E104" s="8" t="s">
        <v>25</v>
      </c>
      <c r="F104" s="8" t="s">
        <v>25</v>
      </c>
      <c r="G104" s="10" t="s">
        <v>417</v>
      </c>
      <c r="H104" s="11" t="s">
        <v>418</v>
      </c>
      <c r="I104" s="8" t="s">
        <v>577</v>
      </c>
      <c r="J104" s="8" t="s">
        <v>567</v>
      </c>
      <c r="K104" s="11" t="s">
        <v>419</v>
      </c>
      <c r="L104" s="8" t="s">
        <v>568</v>
      </c>
      <c r="M104" s="12" t="s">
        <v>569</v>
      </c>
      <c r="N104" s="12"/>
    </row>
    <row r="105" customFormat="false" ht="15" hidden="false" customHeight="false" outlineLevel="0" collapsed="false">
      <c r="A105" s="4" t="n">
        <v>104</v>
      </c>
      <c r="B105" s="6" t="s">
        <v>383</v>
      </c>
      <c r="C105" s="4" t="s">
        <v>15</v>
      </c>
      <c r="D105" s="13" t="s">
        <v>752</v>
      </c>
      <c r="E105" s="4" t="s">
        <v>27</v>
      </c>
      <c r="F105" s="4" t="s">
        <v>27</v>
      </c>
      <c r="G105" s="13" t="s">
        <v>171</v>
      </c>
      <c r="H105" s="11" t="s">
        <v>384</v>
      </c>
      <c r="I105" s="4" t="s">
        <v>566</v>
      </c>
      <c r="J105" s="4" t="s">
        <v>667</v>
      </c>
      <c r="K105" s="11" t="s">
        <v>385</v>
      </c>
      <c r="L105" s="4" t="s">
        <v>568</v>
      </c>
      <c r="M105" s="12" t="s">
        <v>569</v>
      </c>
      <c r="N105" s="12"/>
    </row>
    <row r="106" customFormat="false" ht="15" hidden="false" customHeight="false" outlineLevel="0" collapsed="false">
      <c r="A106" s="8" t="n">
        <v>105</v>
      </c>
      <c r="B106" s="9" t="s">
        <v>186</v>
      </c>
      <c r="C106" s="8" t="s">
        <v>15</v>
      </c>
      <c r="D106" s="10" t="s">
        <v>753</v>
      </c>
      <c r="E106" s="8" t="s">
        <v>25</v>
      </c>
      <c r="F106" s="8" t="s">
        <v>25</v>
      </c>
      <c r="G106" s="10" t="s">
        <v>87</v>
      </c>
      <c r="H106" s="11" t="s">
        <v>188</v>
      </c>
      <c r="I106" s="8" t="s">
        <v>566</v>
      </c>
      <c r="J106" s="8" t="s">
        <v>634</v>
      </c>
      <c r="K106" s="11" t="s">
        <v>189</v>
      </c>
      <c r="L106" s="8" t="s">
        <v>568</v>
      </c>
      <c r="M106" s="12" t="s">
        <v>569</v>
      </c>
      <c r="N106" s="12"/>
    </row>
    <row r="107" customFormat="false" ht="15" hidden="false" customHeight="false" outlineLevel="0" collapsed="false">
      <c r="A107" s="4" t="n">
        <v>106</v>
      </c>
      <c r="B107" s="6" t="s">
        <v>208</v>
      </c>
      <c r="C107" s="4" t="s">
        <v>15</v>
      </c>
      <c r="D107" s="13" t="s">
        <v>754</v>
      </c>
      <c r="E107" s="4" t="s">
        <v>25</v>
      </c>
      <c r="F107" s="4" t="s">
        <v>669</v>
      </c>
      <c r="G107" s="13" t="s">
        <v>209</v>
      </c>
      <c r="H107" s="11" t="s">
        <v>210</v>
      </c>
      <c r="I107" s="4" t="s">
        <v>577</v>
      </c>
      <c r="J107" s="4" t="s">
        <v>567</v>
      </c>
      <c r="K107" s="11" t="s">
        <v>211</v>
      </c>
      <c r="L107" s="4" t="s">
        <v>568</v>
      </c>
      <c r="M107" s="12" t="s">
        <v>569</v>
      </c>
      <c r="N107" s="12"/>
    </row>
    <row r="108" customFormat="false" ht="15" hidden="false" customHeight="false" outlineLevel="0" collapsed="false">
      <c r="A108" s="8" t="n">
        <v>107</v>
      </c>
      <c r="B108" s="9" t="s">
        <v>411</v>
      </c>
      <c r="C108" s="8" t="s">
        <v>15</v>
      </c>
      <c r="D108" s="10" t="s">
        <v>755</v>
      </c>
      <c r="E108" s="8" t="s">
        <v>27</v>
      </c>
      <c r="F108" s="8" t="s">
        <v>756</v>
      </c>
      <c r="G108" s="10" t="s">
        <v>327</v>
      </c>
      <c r="H108" s="11" t="s">
        <v>413</v>
      </c>
      <c r="I108" s="8" t="s">
        <v>566</v>
      </c>
      <c r="J108" s="8" t="s">
        <v>727</v>
      </c>
      <c r="K108" s="11" t="s">
        <v>414</v>
      </c>
      <c r="L108" s="8" t="s">
        <v>568</v>
      </c>
      <c r="M108" s="12" t="s">
        <v>569</v>
      </c>
      <c r="N108" s="12"/>
    </row>
    <row r="109" customFormat="false" ht="15" hidden="false" customHeight="false" outlineLevel="0" collapsed="false">
      <c r="A109" s="4" t="n">
        <v>108</v>
      </c>
      <c r="B109" s="6" t="s">
        <v>406</v>
      </c>
      <c r="C109" s="4" t="s">
        <v>15</v>
      </c>
      <c r="D109" s="13" t="s">
        <v>757</v>
      </c>
      <c r="E109" s="4" t="s">
        <v>25</v>
      </c>
      <c r="F109" s="4" t="s">
        <v>25</v>
      </c>
      <c r="G109" s="13" t="s">
        <v>42</v>
      </c>
      <c r="H109" s="11" t="s">
        <v>408</v>
      </c>
      <c r="I109" s="4" t="s">
        <v>566</v>
      </c>
      <c r="J109" s="4" t="s">
        <v>567</v>
      </c>
      <c r="K109" s="11" t="s">
        <v>409</v>
      </c>
      <c r="L109" s="4" t="s">
        <v>568</v>
      </c>
      <c r="M109" s="12" t="s">
        <v>569</v>
      </c>
      <c r="N109" s="12"/>
    </row>
    <row r="110" customFormat="false" ht="15" hidden="false" customHeight="false" outlineLevel="0" collapsed="false">
      <c r="A110" s="8" t="n">
        <v>109</v>
      </c>
      <c r="B110" s="9" t="s">
        <v>498</v>
      </c>
      <c r="C110" s="8" t="s">
        <v>15</v>
      </c>
      <c r="D110" s="10" t="s">
        <v>758</v>
      </c>
      <c r="E110" s="8" t="s">
        <v>25</v>
      </c>
      <c r="F110" s="8" t="s">
        <v>759</v>
      </c>
      <c r="G110" s="10" t="s">
        <v>171</v>
      </c>
      <c r="H110" s="11" t="s">
        <v>500</v>
      </c>
      <c r="I110" s="8" t="s">
        <v>577</v>
      </c>
      <c r="J110" s="8" t="s">
        <v>667</v>
      </c>
      <c r="K110" s="11" t="s">
        <v>501</v>
      </c>
      <c r="L110" s="8" t="s">
        <v>568</v>
      </c>
      <c r="M110" s="12" t="s">
        <v>569</v>
      </c>
      <c r="N110" s="12"/>
    </row>
    <row r="111" customFormat="false" ht="15" hidden="false" customHeight="false" outlineLevel="0" collapsed="false">
      <c r="A111" s="4" t="n">
        <v>110</v>
      </c>
      <c r="B111" s="6" t="s">
        <v>147</v>
      </c>
      <c r="C111" s="4" t="s">
        <v>16</v>
      </c>
      <c r="D111" s="13" t="s">
        <v>760</v>
      </c>
      <c r="E111" s="4" t="s">
        <v>25</v>
      </c>
      <c r="F111" s="4" t="s">
        <v>25</v>
      </c>
      <c r="G111" s="13" t="s">
        <v>87</v>
      </c>
      <c r="H111" s="11" t="s">
        <v>149</v>
      </c>
      <c r="I111" s="4" t="s">
        <v>566</v>
      </c>
      <c r="J111" s="4" t="s">
        <v>567</v>
      </c>
      <c r="K111" s="11" t="s">
        <v>150</v>
      </c>
      <c r="L111" s="4" t="s">
        <v>568</v>
      </c>
      <c r="M111" s="12" t="s">
        <v>569</v>
      </c>
      <c r="N111" s="12"/>
    </row>
    <row r="112" customFormat="false" ht="15" hidden="false" customHeight="false" outlineLevel="0" collapsed="false">
      <c r="A112" s="8" t="n">
        <v>111</v>
      </c>
      <c r="B112" s="9" t="s">
        <v>147</v>
      </c>
      <c r="C112" s="8" t="s">
        <v>16</v>
      </c>
      <c r="D112" s="10" t="s">
        <v>761</v>
      </c>
      <c r="E112" s="8" t="s">
        <v>25</v>
      </c>
      <c r="F112" s="8" t="s">
        <v>25</v>
      </c>
      <c r="G112" s="10" t="s">
        <v>87</v>
      </c>
      <c r="H112" s="11" t="s">
        <v>762</v>
      </c>
      <c r="I112" s="8" t="s">
        <v>566</v>
      </c>
      <c r="J112" s="8" t="s">
        <v>622</v>
      </c>
      <c r="K112" s="11" t="s">
        <v>150</v>
      </c>
      <c r="L112" s="8" t="s">
        <v>568</v>
      </c>
      <c r="M112" s="12" t="s">
        <v>569</v>
      </c>
      <c r="N112" s="12"/>
    </row>
    <row r="113" customFormat="false" ht="23.85" hidden="false" customHeight="false" outlineLevel="0" collapsed="false">
      <c r="A113" s="4" t="n">
        <v>112</v>
      </c>
      <c r="B113" s="6" t="s">
        <v>141</v>
      </c>
      <c r="C113" s="4" t="s">
        <v>16</v>
      </c>
      <c r="D113" s="13" t="s">
        <v>763</v>
      </c>
      <c r="E113" s="4" t="s">
        <v>23</v>
      </c>
      <c r="F113" s="4" t="s">
        <v>564</v>
      </c>
      <c r="G113" s="13" t="s">
        <v>87</v>
      </c>
      <c r="H113" s="11" t="s">
        <v>144</v>
      </c>
      <c r="I113" s="4" t="s">
        <v>566</v>
      </c>
      <c r="J113" s="4" t="s">
        <v>567</v>
      </c>
      <c r="K113" s="11" t="s">
        <v>145</v>
      </c>
      <c r="L113" s="4" t="s">
        <v>568</v>
      </c>
      <c r="M113" s="12" t="s">
        <v>569</v>
      </c>
      <c r="N113" s="12"/>
    </row>
    <row r="114" customFormat="false" ht="15" hidden="false" customHeight="false" outlineLevel="0" collapsed="false">
      <c r="A114" s="8" t="n">
        <v>113</v>
      </c>
      <c r="B114" s="9" t="s">
        <v>141</v>
      </c>
      <c r="C114" s="8" t="s">
        <v>16</v>
      </c>
      <c r="D114" s="10" t="s">
        <v>764</v>
      </c>
      <c r="E114" s="8" t="s">
        <v>23</v>
      </c>
      <c r="F114" s="8" t="s">
        <v>23</v>
      </c>
      <c r="G114" s="10" t="s">
        <v>87</v>
      </c>
      <c r="H114" s="11" t="s">
        <v>765</v>
      </c>
      <c r="I114" s="8" t="s">
        <v>566</v>
      </c>
      <c r="J114" s="8" t="s">
        <v>567</v>
      </c>
      <c r="K114" s="11" t="s">
        <v>145</v>
      </c>
      <c r="L114" s="8" t="s">
        <v>568</v>
      </c>
      <c r="M114" s="12" t="s">
        <v>569</v>
      </c>
      <c r="N114" s="12"/>
    </row>
    <row r="115" customFormat="false" ht="15" hidden="false" customHeight="false" outlineLevel="0" collapsed="false">
      <c r="A115" s="4" t="n">
        <v>114</v>
      </c>
      <c r="B115" s="6" t="s">
        <v>141</v>
      </c>
      <c r="C115" s="4" t="s">
        <v>16</v>
      </c>
      <c r="D115" s="13" t="s">
        <v>766</v>
      </c>
      <c r="E115" s="4" t="s">
        <v>23</v>
      </c>
      <c r="F115" s="4" t="s">
        <v>23</v>
      </c>
      <c r="G115" s="13" t="s">
        <v>87</v>
      </c>
      <c r="H115" s="11" t="s">
        <v>767</v>
      </c>
      <c r="I115" s="4" t="s">
        <v>566</v>
      </c>
      <c r="J115" s="4" t="s">
        <v>768</v>
      </c>
      <c r="K115" s="11" t="s">
        <v>145</v>
      </c>
      <c r="L115" s="4" t="s">
        <v>568</v>
      </c>
      <c r="M115" s="12" t="s">
        <v>569</v>
      </c>
      <c r="N115" s="12"/>
    </row>
    <row r="116" customFormat="false" ht="15" hidden="false" customHeight="false" outlineLevel="0" collapsed="false">
      <c r="A116" s="8" t="n">
        <v>115</v>
      </c>
      <c r="B116" s="9" t="s">
        <v>141</v>
      </c>
      <c r="C116" s="8" t="s">
        <v>16</v>
      </c>
      <c r="D116" s="10" t="s">
        <v>742</v>
      </c>
      <c r="E116" s="8" t="s">
        <v>25</v>
      </c>
      <c r="F116" s="8" t="s">
        <v>25</v>
      </c>
      <c r="G116" s="10" t="s">
        <v>87</v>
      </c>
      <c r="H116" s="11" t="s">
        <v>769</v>
      </c>
      <c r="I116" s="8" t="s">
        <v>566</v>
      </c>
      <c r="J116" s="8" t="s">
        <v>622</v>
      </c>
      <c r="K116" s="11" t="s">
        <v>770</v>
      </c>
      <c r="L116" s="8" t="s">
        <v>568</v>
      </c>
      <c r="M116" s="12" t="s">
        <v>569</v>
      </c>
      <c r="N116" s="12"/>
    </row>
    <row r="117" customFormat="false" ht="15" hidden="false" customHeight="false" outlineLevel="0" collapsed="false">
      <c r="A117" s="4" t="n">
        <v>116</v>
      </c>
      <c r="B117" s="6" t="s">
        <v>141</v>
      </c>
      <c r="C117" s="4" t="s">
        <v>16</v>
      </c>
      <c r="D117" s="13" t="s">
        <v>771</v>
      </c>
      <c r="E117" s="4" t="s">
        <v>23</v>
      </c>
      <c r="F117" s="4" t="s">
        <v>23</v>
      </c>
      <c r="G117" s="13" t="s">
        <v>772</v>
      </c>
      <c r="H117" s="11" t="s">
        <v>773</v>
      </c>
      <c r="I117" s="4" t="s">
        <v>566</v>
      </c>
      <c r="J117" s="4" t="s">
        <v>727</v>
      </c>
      <c r="K117" s="11" t="s">
        <v>145</v>
      </c>
      <c r="L117" s="4" t="s">
        <v>568</v>
      </c>
      <c r="M117" s="12" t="s">
        <v>569</v>
      </c>
      <c r="N117" s="12"/>
    </row>
    <row r="118" customFormat="false" ht="15" hidden="false" customHeight="false" outlineLevel="0" collapsed="false">
      <c r="A118" s="8" t="n">
        <v>117</v>
      </c>
      <c r="B118" s="9" t="s">
        <v>141</v>
      </c>
      <c r="C118" s="8" t="s">
        <v>16</v>
      </c>
      <c r="D118" s="10" t="s">
        <v>774</v>
      </c>
      <c r="E118" s="8" t="s">
        <v>23</v>
      </c>
      <c r="F118" s="8" t="s">
        <v>573</v>
      </c>
      <c r="G118" s="10" t="s">
        <v>775</v>
      </c>
      <c r="H118" s="11" t="s">
        <v>776</v>
      </c>
      <c r="I118" s="8" t="s">
        <v>566</v>
      </c>
      <c r="J118" s="8" t="s">
        <v>625</v>
      </c>
      <c r="K118" s="11" t="s">
        <v>145</v>
      </c>
      <c r="L118" s="8" t="s">
        <v>568</v>
      </c>
      <c r="M118" s="12" t="s">
        <v>569</v>
      </c>
      <c r="N118" s="12"/>
    </row>
    <row r="119" customFormat="false" ht="15" hidden="false" customHeight="false" outlineLevel="0" collapsed="false">
      <c r="A119" s="4" t="n">
        <v>118</v>
      </c>
      <c r="B119" s="6" t="s">
        <v>107</v>
      </c>
      <c r="C119" s="4" t="s">
        <v>16</v>
      </c>
      <c r="D119" s="13" t="s">
        <v>777</v>
      </c>
      <c r="E119" s="4" t="s">
        <v>25</v>
      </c>
      <c r="F119" s="4" t="s">
        <v>669</v>
      </c>
      <c r="G119" s="13" t="s">
        <v>109</v>
      </c>
      <c r="H119" s="11" t="s">
        <v>110</v>
      </c>
      <c r="I119" s="4" t="s">
        <v>577</v>
      </c>
      <c r="J119" s="4" t="s">
        <v>567</v>
      </c>
      <c r="K119" s="11" t="s">
        <v>110</v>
      </c>
      <c r="L119" s="4" t="s">
        <v>568</v>
      </c>
      <c r="M119" s="12" t="s">
        <v>569</v>
      </c>
      <c r="N119" s="12"/>
    </row>
    <row r="120" customFormat="false" ht="15" hidden="false" customHeight="false" outlineLevel="0" collapsed="false">
      <c r="A120" s="8" t="n">
        <v>119</v>
      </c>
      <c r="B120" s="9" t="s">
        <v>443</v>
      </c>
      <c r="C120" s="8" t="s">
        <v>16</v>
      </c>
      <c r="D120" s="10" t="s">
        <v>778</v>
      </c>
      <c r="E120" s="8" t="s">
        <v>25</v>
      </c>
      <c r="F120" s="8" t="s">
        <v>661</v>
      </c>
      <c r="G120" s="10" t="s">
        <v>171</v>
      </c>
      <c r="H120" s="11" t="s">
        <v>445</v>
      </c>
      <c r="I120" s="8" t="s">
        <v>577</v>
      </c>
      <c r="J120" s="8" t="s">
        <v>567</v>
      </c>
      <c r="K120" s="11" t="s">
        <v>446</v>
      </c>
      <c r="L120" s="8" t="s">
        <v>568</v>
      </c>
      <c r="M120" s="12" t="s">
        <v>569</v>
      </c>
      <c r="N120" s="12"/>
    </row>
    <row r="121" customFormat="false" ht="15" hidden="false" customHeight="false" outlineLevel="0" collapsed="false">
      <c r="A121" s="4" t="n">
        <v>120</v>
      </c>
      <c r="B121" s="6" t="s">
        <v>135</v>
      </c>
      <c r="C121" s="4" t="s">
        <v>16</v>
      </c>
      <c r="D121" s="13" t="s">
        <v>779</v>
      </c>
      <c r="E121" s="4" t="s">
        <v>25</v>
      </c>
      <c r="F121" s="4" t="s">
        <v>25</v>
      </c>
      <c r="G121" s="13" t="s">
        <v>42</v>
      </c>
      <c r="H121" s="11" t="s">
        <v>138</v>
      </c>
      <c r="I121" s="4" t="s">
        <v>566</v>
      </c>
      <c r="J121" s="4" t="s">
        <v>768</v>
      </c>
      <c r="K121" s="11" t="s">
        <v>139</v>
      </c>
      <c r="L121" s="4" t="s">
        <v>568</v>
      </c>
      <c r="M121" s="12" t="s">
        <v>569</v>
      </c>
      <c r="N121" s="12"/>
    </row>
    <row r="122" customFormat="false" ht="15" hidden="false" customHeight="false" outlineLevel="0" collapsed="false">
      <c r="A122" s="8" t="n">
        <v>121</v>
      </c>
      <c r="B122" s="9" t="s">
        <v>135</v>
      </c>
      <c r="C122" s="8" t="s">
        <v>16</v>
      </c>
      <c r="D122" s="10" t="s">
        <v>706</v>
      </c>
      <c r="E122" s="8" t="s">
        <v>25</v>
      </c>
      <c r="F122" s="8" t="s">
        <v>25</v>
      </c>
      <c r="G122" s="10" t="s">
        <v>42</v>
      </c>
      <c r="H122" s="11" t="s">
        <v>780</v>
      </c>
      <c r="I122" s="8" t="s">
        <v>566</v>
      </c>
      <c r="J122" s="8" t="s">
        <v>625</v>
      </c>
      <c r="K122" s="11" t="s">
        <v>139</v>
      </c>
      <c r="L122" s="8" t="s">
        <v>568</v>
      </c>
      <c r="M122" s="12" t="s">
        <v>569</v>
      </c>
      <c r="N122" s="12"/>
    </row>
    <row r="123" customFormat="false" ht="15" hidden="false" customHeight="false" outlineLevel="0" collapsed="false">
      <c r="A123" s="4" t="n">
        <v>122</v>
      </c>
      <c r="B123" s="6" t="s">
        <v>135</v>
      </c>
      <c r="C123" s="4" t="s">
        <v>16</v>
      </c>
      <c r="D123" s="13" t="s">
        <v>781</v>
      </c>
      <c r="E123" s="4" t="s">
        <v>23</v>
      </c>
      <c r="F123" s="4" t="s">
        <v>573</v>
      </c>
      <c r="G123" s="13" t="s">
        <v>42</v>
      </c>
      <c r="H123" s="11" t="s">
        <v>782</v>
      </c>
      <c r="I123" s="4" t="s">
        <v>566</v>
      </c>
      <c r="J123" s="4" t="s">
        <v>681</v>
      </c>
      <c r="K123" s="11" t="s">
        <v>139</v>
      </c>
      <c r="L123" s="4" t="s">
        <v>568</v>
      </c>
      <c r="M123" s="12" t="s">
        <v>569</v>
      </c>
      <c r="N123" s="12"/>
    </row>
    <row r="124" customFormat="false" ht="15" hidden="false" customHeight="false" outlineLevel="0" collapsed="false">
      <c r="A124" s="8" t="n">
        <v>123</v>
      </c>
      <c r="B124" s="9" t="s">
        <v>347</v>
      </c>
      <c r="C124" s="8" t="s">
        <v>17</v>
      </c>
      <c r="D124" s="10" t="s">
        <v>783</v>
      </c>
      <c r="E124" s="8" t="s">
        <v>25</v>
      </c>
      <c r="F124" s="8" t="s">
        <v>675</v>
      </c>
      <c r="G124" s="10" t="s">
        <v>42</v>
      </c>
      <c r="H124" s="11" t="s">
        <v>349</v>
      </c>
      <c r="I124" s="8" t="s">
        <v>577</v>
      </c>
      <c r="J124" s="8" t="s">
        <v>723</v>
      </c>
      <c r="K124" s="11" t="s">
        <v>350</v>
      </c>
      <c r="L124" s="8" t="s">
        <v>568</v>
      </c>
      <c r="M124" s="12" t="s">
        <v>569</v>
      </c>
      <c r="N124" s="12"/>
    </row>
    <row r="125" customFormat="false" ht="15" hidden="false" customHeight="false" outlineLevel="0" collapsed="false">
      <c r="A125" s="4" t="n">
        <v>124</v>
      </c>
      <c r="B125" s="6" t="s">
        <v>331</v>
      </c>
      <c r="C125" s="4" t="s">
        <v>17</v>
      </c>
      <c r="D125" s="13" t="s">
        <v>784</v>
      </c>
      <c r="E125" s="4" t="s">
        <v>25</v>
      </c>
      <c r="F125" s="4" t="s">
        <v>25</v>
      </c>
      <c r="G125" s="13" t="s">
        <v>333</v>
      </c>
      <c r="H125" s="11" t="s">
        <v>334</v>
      </c>
      <c r="I125" s="4" t="s">
        <v>566</v>
      </c>
      <c r="J125" s="4" t="s">
        <v>654</v>
      </c>
      <c r="K125" s="11" t="s">
        <v>335</v>
      </c>
      <c r="L125" s="4" t="s">
        <v>568</v>
      </c>
      <c r="M125" s="12" t="s">
        <v>569</v>
      </c>
      <c r="N125" s="12"/>
    </row>
    <row r="126" customFormat="false" ht="15" hidden="false" customHeight="false" outlineLevel="0" collapsed="false">
      <c r="A126" s="8" t="n">
        <v>125</v>
      </c>
      <c r="B126" s="9" t="s">
        <v>331</v>
      </c>
      <c r="C126" s="8" t="s">
        <v>17</v>
      </c>
      <c r="D126" s="10" t="s">
        <v>785</v>
      </c>
      <c r="E126" s="8" t="s">
        <v>25</v>
      </c>
      <c r="F126" s="8" t="s">
        <v>25</v>
      </c>
      <c r="G126" s="10" t="s">
        <v>333</v>
      </c>
      <c r="H126" s="11" t="s">
        <v>786</v>
      </c>
      <c r="I126" s="8" t="s">
        <v>566</v>
      </c>
      <c r="J126" s="8" t="s">
        <v>654</v>
      </c>
      <c r="K126" s="11" t="s">
        <v>335</v>
      </c>
      <c r="L126" s="8" t="s">
        <v>568</v>
      </c>
      <c r="M126" s="12" t="s">
        <v>569</v>
      </c>
      <c r="N126" s="12"/>
    </row>
    <row r="127" customFormat="false" ht="15" hidden="false" customHeight="false" outlineLevel="0" collapsed="false">
      <c r="A127" s="4" t="n">
        <v>126</v>
      </c>
      <c r="B127" s="6" t="s">
        <v>331</v>
      </c>
      <c r="C127" s="4" t="s">
        <v>17</v>
      </c>
      <c r="D127" s="13" t="s">
        <v>787</v>
      </c>
      <c r="E127" s="4" t="s">
        <v>27</v>
      </c>
      <c r="F127" s="4" t="s">
        <v>788</v>
      </c>
      <c r="G127" s="13" t="s">
        <v>171</v>
      </c>
      <c r="H127" s="11" t="s">
        <v>789</v>
      </c>
      <c r="I127" s="4" t="s">
        <v>566</v>
      </c>
      <c r="J127" s="4" t="s">
        <v>634</v>
      </c>
      <c r="K127" s="11" t="s">
        <v>335</v>
      </c>
      <c r="L127" s="4" t="s">
        <v>568</v>
      </c>
      <c r="M127" s="12" t="s">
        <v>569</v>
      </c>
      <c r="N127" s="12"/>
    </row>
    <row r="128" customFormat="false" ht="15" hidden="false" customHeight="false" outlineLevel="0" collapsed="false">
      <c r="A128" s="8" t="n">
        <v>127</v>
      </c>
      <c r="B128" s="9" t="s">
        <v>337</v>
      </c>
      <c r="C128" s="8" t="s">
        <v>17</v>
      </c>
      <c r="D128" s="10" t="s">
        <v>790</v>
      </c>
      <c r="E128" s="8" t="s">
        <v>27</v>
      </c>
      <c r="F128" s="8" t="s">
        <v>788</v>
      </c>
      <c r="G128" s="10" t="s">
        <v>42</v>
      </c>
      <c r="H128" s="11" t="s">
        <v>339</v>
      </c>
      <c r="I128" s="8" t="s">
        <v>566</v>
      </c>
      <c r="J128" s="8" t="s">
        <v>645</v>
      </c>
      <c r="K128" s="11" t="s">
        <v>340</v>
      </c>
      <c r="L128" s="8" t="s">
        <v>568</v>
      </c>
      <c r="M128" s="12" t="s">
        <v>569</v>
      </c>
      <c r="N128" s="12"/>
    </row>
    <row r="129" customFormat="false" ht="15" hidden="false" customHeight="false" outlineLevel="0" collapsed="false">
      <c r="A129" s="4" t="n">
        <v>128</v>
      </c>
      <c r="B129" s="6" t="s">
        <v>337</v>
      </c>
      <c r="C129" s="4" t="s">
        <v>17</v>
      </c>
      <c r="D129" s="13" t="s">
        <v>791</v>
      </c>
      <c r="E129" s="4" t="s">
        <v>25</v>
      </c>
      <c r="F129" s="4" t="s">
        <v>25</v>
      </c>
      <c r="G129" s="13" t="s">
        <v>87</v>
      </c>
      <c r="H129" s="11" t="s">
        <v>792</v>
      </c>
      <c r="I129" s="4" t="s">
        <v>566</v>
      </c>
      <c r="J129" s="4" t="s">
        <v>634</v>
      </c>
      <c r="K129" s="11" t="s">
        <v>340</v>
      </c>
      <c r="L129" s="4" t="s">
        <v>568</v>
      </c>
      <c r="M129" s="12" t="s">
        <v>569</v>
      </c>
      <c r="N129" s="12"/>
    </row>
    <row r="130" customFormat="false" ht="15" hidden="false" customHeight="false" outlineLevel="0" collapsed="false">
      <c r="A130" s="8" t="n">
        <v>129</v>
      </c>
      <c r="B130" s="9" t="s">
        <v>337</v>
      </c>
      <c r="C130" s="8" t="s">
        <v>17</v>
      </c>
      <c r="D130" s="10" t="s">
        <v>649</v>
      </c>
      <c r="E130" s="8" t="s">
        <v>25</v>
      </c>
      <c r="F130" s="8" t="s">
        <v>25</v>
      </c>
      <c r="G130" s="10" t="s">
        <v>87</v>
      </c>
      <c r="H130" s="11" t="s">
        <v>793</v>
      </c>
      <c r="I130" s="8" t="s">
        <v>566</v>
      </c>
      <c r="J130" s="8" t="s">
        <v>634</v>
      </c>
      <c r="K130" s="11" t="s">
        <v>340</v>
      </c>
      <c r="L130" s="8" t="s">
        <v>568</v>
      </c>
      <c r="M130" s="12" t="s">
        <v>569</v>
      </c>
      <c r="N130" s="12"/>
    </row>
    <row r="131" customFormat="false" ht="15" hidden="false" customHeight="false" outlineLevel="0" collapsed="false">
      <c r="A131" s="4" t="n">
        <v>130</v>
      </c>
      <c r="B131" s="6" t="s">
        <v>530</v>
      </c>
      <c r="C131" s="4" t="s">
        <v>17</v>
      </c>
      <c r="D131" s="13" t="s">
        <v>794</v>
      </c>
      <c r="E131" s="4" t="s">
        <v>25</v>
      </c>
      <c r="F131" s="4" t="s">
        <v>25</v>
      </c>
      <c r="G131" s="13" t="s">
        <v>531</v>
      </c>
      <c r="H131" s="11" t="s">
        <v>532</v>
      </c>
      <c r="I131" s="4" t="s">
        <v>577</v>
      </c>
      <c r="J131" s="4" t="s">
        <v>795</v>
      </c>
      <c r="K131" s="11" t="s">
        <v>533</v>
      </c>
      <c r="L131" s="4" t="s">
        <v>568</v>
      </c>
      <c r="M131" s="12" t="s">
        <v>569</v>
      </c>
      <c r="N131" s="12"/>
    </row>
    <row r="132" customFormat="false" ht="15" hidden="false" customHeight="false" outlineLevel="0" collapsed="false">
      <c r="A132" s="8" t="n">
        <v>131</v>
      </c>
      <c r="B132" s="9" t="s">
        <v>342</v>
      </c>
      <c r="C132" s="8" t="s">
        <v>17</v>
      </c>
      <c r="D132" s="10" t="s">
        <v>796</v>
      </c>
      <c r="E132" s="8" t="s">
        <v>25</v>
      </c>
      <c r="F132" s="8" t="s">
        <v>25</v>
      </c>
      <c r="G132" s="10" t="s">
        <v>214</v>
      </c>
      <c r="H132" s="11" t="s">
        <v>344</v>
      </c>
      <c r="I132" s="8" t="s">
        <v>566</v>
      </c>
      <c r="J132" s="8" t="s">
        <v>567</v>
      </c>
      <c r="K132" s="11" t="s">
        <v>345</v>
      </c>
      <c r="L132" s="8" t="s">
        <v>568</v>
      </c>
      <c r="M132" s="12" t="s">
        <v>569</v>
      </c>
      <c r="N132" s="12"/>
    </row>
    <row r="133" customFormat="false" ht="15" hidden="false" customHeight="false" outlineLevel="0" collapsed="false">
      <c r="A133" s="4" t="n">
        <v>132</v>
      </c>
      <c r="B133" s="6" t="s">
        <v>342</v>
      </c>
      <c r="C133" s="4" t="s">
        <v>17</v>
      </c>
      <c r="D133" s="13" t="s">
        <v>797</v>
      </c>
      <c r="E133" s="4" t="s">
        <v>25</v>
      </c>
      <c r="F133" s="4" t="s">
        <v>25</v>
      </c>
      <c r="G133" s="13" t="s">
        <v>214</v>
      </c>
      <c r="H133" s="11" t="s">
        <v>798</v>
      </c>
      <c r="I133" s="4" t="s">
        <v>566</v>
      </c>
      <c r="J133" s="4" t="s">
        <v>727</v>
      </c>
      <c r="K133" s="11" t="s">
        <v>345</v>
      </c>
      <c r="L133" s="4" t="s">
        <v>568</v>
      </c>
      <c r="M133" s="12" t="s">
        <v>569</v>
      </c>
      <c r="N133" s="12"/>
    </row>
    <row r="134" customFormat="false" ht="15" hidden="false" customHeight="false" outlineLevel="0" collapsed="false">
      <c r="A134" s="8" t="n">
        <v>133</v>
      </c>
      <c r="B134" s="9" t="s">
        <v>326</v>
      </c>
      <c r="C134" s="8" t="s">
        <v>17</v>
      </c>
      <c r="D134" s="10" t="s">
        <v>799</v>
      </c>
      <c r="E134" s="8" t="s">
        <v>25</v>
      </c>
      <c r="F134" s="8" t="s">
        <v>669</v>
      </c>
      <c r="G134" s="10" t="s">
        <v>327</v>
      </c>
      <c r="H134" s="11" t="s">
        <v>328</v>
      </c>
      <c r="I134" s="8" t="s">
        <v>566</v>
      </c>
      <c r="J134" s="8" t="s">
        <v>567</v>
      </c>
      <c r="K134" s="11" t="s">
        <v>329</v>
      </c>
      <c r="L134" s="8" t="s">
        <v>568</v>
      </c>
      <c r="M134" s="12" t="s">
        <v>569</v>
      </c>
      <c r="N134" s="12"/>
    </row>
    <row r="135" customFormat="false" ht="15" hidden="false" customHeight="false" outlineLevel="0" collapsed="false">
      <c r="A135" s="4" t="n">
        <v>134</v>
      </c>
      <c r="B135" s="6" t="s">
        <v>326</v>
      </c>
      <c r="C135" s="4" t="s">
        <v>17</v>
      </c>
      <c r="D135" s="13" t="s">
        <v>800</v>
      </c>
      <c r="E135" s="4" t="s">
        <v>25</v>
      </c>
      <c r="F135" s="4" t="s">
        <v>25</v>
      </c>
      <c r="G135" s="13" t="s">
        <v>327</v>
      </c>
      <c r="H135" s="11" t="s">
        <v>801</v>
      </c>
      <c r="I135" s="4" t="s">
        <v>566</v>
      </c>
      <c r="J135" s="4" t="s">
        <v>567</v>
      </c>
      <c r="K135" s="11" t="s">
        <v>329</v>
      </c>
      <c r="L135" s="4" t="s">
        <v>568</v>
      </c>
      <c r="M135" s="12" t="s">
        <v>569</v>
      </c>
      <c r="N135" s="12"/>
    </row>
    <row r="136" customFormat="false" ht="15" hidden="false" customHeight="false" outlineLevel="0" collapsed="false">
      <c r="A136" s="8" t="n">
        <v>135</v>
      </c>
      <c r="B136" s="9" t="s">
        <v>163</v>
      </c>
      <c r="C136" s="8" t="s">
        <v>18</v>
      </c>
      <c r="D136" s="10" t="s">
        <v>802</v>
      </c>
      <c r="E136" s="8" t="s">
        <v>25</v>
      </c>
      <c r="F136" s="8" t="s">
        <v>803</v>
      </c>
      <c r="G136" s="10" t="s">
        <v>42</v>
      </c>
      <c r="H136" s="11" t="s">
        <v>166</v>
      </c>
      <c r="I136" s="8" t="s">
        <v>577</v>
      </c>
      <c r="J136" s="8" t="s">
        <v>567</v>
      </c>
      <c r="K136" s="11" t="s">
        <v>167</v>
      </c>
      <c r="L136" s="8" t="s">
        <v>568</v>
      </c>
      <c r="M136" s="12" t="s">
        <v>569</v>
      </c>
      <c r="N136" s="12"/>
    </row>
    <row r="137" customFormat="false" ht="15" hidden="false" customHeight="false" outlineLevel="0" collapsed="false">
      <c r="A137" s="4" t="n">
        <v>136</v>
      </c>
      <c r="B137" s="6" t="s">
        <v>163</v>
      </c>
      <c r="C137" s="4" t="s">
        <v>18</v>
      </c>
      <c r="D137" s="13" t="s">
        <v>804</v>
      </c>
      <c r="E137" s="4" t="s">
        <v>27</v>
      </c>
      <c r="F137" s="4" t="s">
        <v>805</v>
      </c>
      <c r="G137" s="13" t="s">
        <v>171</v>
      </c>
      <c r="H137" s="11" t="s">
        <v>806</v>
      </c>
      <c r="I137" s="4" t="s">
        <v>577</v>
      </c>
      <c r="J137" s="4" t="s">
        <v>567</v>
      </c>
      <c r="K137" s="11" t="s">
        <v>167</v>
      </c>
      <c r="L137" s="4" t="s">
        <v>568</v>
      </c>
      <c r="M137" s="12" t="s">
        <v>569</v>
      </c>
      <c r="N137" s="12"/>
    </row>
    <row r="138" customFormat="false" ht="15" hidden="false" customHeight="false" outlineLevel="0" collapsed="false">
      <c r="A138" s="8" t="n">
        <v>137</v>
      </c>
      <c r="B138" s="9" t="s">
        <v>119</v>
      </c>
      <c r="C138" s="8" t="s">
        <v>18</v>
      </c>
      <c r="D138" s="10" t="s">
        <v>807</v>
      </c>
      <c r="E138" s="8" t="s">
        <v>25</v>
      </c>
      <c r="F138" s="8" t="s">
        <v>25</v>
      </c>
      <c r="G138" s="10" t="s">
        <v>42</v>
      </c>
      <c r="H138" s="11" t="s">
        <v>121</v>
      </c>
      <c r="I138" s="8" t="s">
        <v>566</v>
      </c>
      <c r="J138" s="8" t="s">
        <v>567</v>
      </c>
      <c r="K138" s="11" t="s">
        <v>122</v>
      </c>
      <c r="L138" s="8" t="s">
        <v>568</v>
      </c>
      <c r="M138" s="12" t="s">
        <v>569</v>
      </c>
      <c r="N138" s="12"/>
    </row>
    <row r="139" customFormat="false" ht="15" hidden="false" customHeight="false" outlineLevel="0" collapsed="false">
      <c r="A139" s="4" t="n">
        <v>138</v>
      </c>
      <c r="B139" s="6" t="s">
        <v>119</v>
      </c>
      <c r="C139" s="4" t="s">
        <v>18</v>
      </c>
      <c r="D139" s="13" t="s">
        <v>808</v>
      </c>
      <c r="E139" s="4" t="s">
        <v>25</v>
      </c>
      <c r="F139" s="4" t="s">
        <v>25</v>
      </c>
      <c r="G139" s="13" t="s">
        <v>42</v>
      </c>
      <c r="H139" s="11" t="s">
        <v>809</v>
      </c>
      <c r="I139" s="4" t="s">
        <v>566</v>
      </c>
      <c r="J139" s="4" t="s">
        <v>567</v>
      </c>
      <c r="K139" s="11" t="s">
        <v>122</v>
      </c>
      <c r="L139" s="4" t="s">
        <v>568</v>
      </c>
      <c r="M139" s="12" t="s">
        <v>569</v>
      </c>
      <c r="N139" s="12"/>
    </row>
    <row r="140" customFormat="false" ht="15" hidden="false" customHeight="false" outlineLevel="0" collapsed="false">
      <c r="A140" s="8" t="n">
        <v>139</v>
      </c>
      <c r="B140" s="9" t="s">
        <v>119</v>
      </c>
      <c r="C140" s="8" t="s">
        <v>18</v>
      </c>
      <c r="D140" s="10" t="s">
        <v>810</v>
      </c>
      <c r="E140" s="8" t="s">
        <v>25</v>
      </c>
      <c r="F140" s="8" t="s">
        <v>811</v>
      </c>
      <c r="G140" s="10" t="s">
        <v>42</v>
      </c>
      <c r="H140" s="11" t="s">
        <v>812</v>
      </c>
      <c r="I140" s="8" t="s">
        <v>566</v>
      </c>
      <c r="J140" s="8" t="s">
        <v>813</v>
      </c>
      <c r="K140" s="11" t="s">
        <v>122</v>
      </c>
      <c r="L140" s="8" t="s">
        <v>568</v>
      </c>
      <c r="M140" s="12" t="s">
        <v>569</v>
      </c>
      <c r="N140" s="12"/>
    </row>
    <row r="141" customFormat="false" ht="15" hidden="false" customHeight="false" outlineLevel="0" collapsed="false">
      <c r="A141" s="4" t="n">
        <v>140</v>
      </c>
      <c r="B141" s="6" t="s">
        <v>112</v>
      </c>
      <c r="C141" s="4" t="s">
        <v>18</v>
      </c>
      <c r="D141" s="13" t="s">
        <v>814</v>
      </c>
      <c r="E141" s="4" t="s">
        <v>27</v>
      </c>
      <c r="F141" s="4" t="s">
        <v>815</v>
      </c>
      <c r="G141" s="13" t="s">
        <v>69</v>
      </c>
      <c r="H141" s="11" t="s">
        <v>116</v>
      </c>
      <c r="I141" s="4" t="s">
        <v>566</v>
      </c>
      <c r="J141" s="4" t="s">
        <v>567</v>
      </c>
      <c r="K141" s="11" t="s">
        <v>117</v>
      </c>
      <c r="L141" s="4" t="s">
        <v>568</v>
      </c>
      <c r="M141" s="12" t="s">
        <v>569</v>
      </c>
      <c r="N141" s="12"/>
    </row>
    <row r="142" customFormat="false" ht="15" hidden="false" customHeight="false" outlineLevel="0" collapsed="false">
      <c r="A142" s="8" t="n">
        <v>141</v>
      </c>
      <c r="B142" s="9" t="s">
        <v>112</v>
      </c>
      <c r="C142" s="8" t="s">
        <v>18</v>
      </c>
      <c r="D142" s="10" t="s">
        <v>816</v>
      </c>
      <c r="E142" s="8" t="s">
        <v>26</v>
      </c>
      <c r="F142" s="8" t="s">
        <v>26</v>
      </c>
      <c r="G142" s="10" t="s">
        <v>565</v>
      </c>
      <c r="H142" s="11" t="s">
        <v>817</v>
      </c>
      <c r="I142" s="8" t="s">
        <v>566</v>
      </c>
      <c r="J142" s="8" t="s">
        <v>567</v>
      </c>
      <c r="K142" s="11" t="s">
        <v>117</v>
      </c>
      <c r="L142" s="8" t="s">
        <v>568</v>
      </c>
      <c r="M142" s="12" t="s">
        <v>569</v>
      </c>
      <c r="N142" s="12"/>
    </row>
    <row r="143" customFormat="false" ht="15" hidden="false" customHeight="false" outlineLevel="0" collapsed="false">
      <c r="A143" s="4" t="n">
        <v>142</v>
      </c>
      <c r="B143" s="6" t="s">
        <v>112</v>
      </c>
      <c r="C143" s="4" t="s">
        <v>18</v>
      </c>
      <c r="D143" s="13" t="s">
        <v>818</v>
      </c>
      <c r="E143" s="4" t="s">
        <v>25</v>
      </c>
      <c r="F143" s="4" t="s">
        <v>25</v>
      </c>
      <c r="G143" s="13" t="s">
        <v>69</v>
      </c>
      <c r="H143" s="11" t="s">
        <v>819</v>
      </c>
      <c r="I143" s="4" t="s">
        <v>566</v>
      </c>
      <c r="J143" s="4" t="s">
        <v>567</v>
      </c>
      <c r="K143" s="11" t="s">
        <v>117</v>
      </c>
      <c r="L143" s="4" t="s">
        <v>568</v>
      </c>
      <c r="M143" s="12" t="s">
        <v>569</v>
      </c>
      <c r="N143" s="12"/>
    </row>
    <row r="144" customFormat="false" ht="15" hidden="false" customHeight="false" outlineLevel="0" collapsed="false">
      <c r="A144" s="8" t="n">
        <v>143</v>
      </c>
      <c r="B144" s="9" t="s">
        <v>152</v>
      </c>
      <c r="C144" s="8" t="s">
        <v>18</v>
      </c>
      <c r="D144" s="10" t="s">
        <v>820</v>
      </c>
      <c r="E144" s="8" t="s">
        <v>25</v>
      </c>
      <c r="F144" s="8" t="s">
        <v>25</v>
      </c>
      <c r="G144" s="10" t="s">
        <v>42</v>
      </c>
      <c r="H144" s="11" t="s">
        <v>155</v>
      </c>
      <c r="I144" s="8" t="s">
        <v>566</v>
      </c>
      <c r="J144" s="8" t="s">
        <v>727</v>
      </c>
      <c r="K144" s="11" t="s">
        <v>156</v>
      </c>
      <c r="L144" s="8" t="s">
        <v>568</v>
      </c>
      <c r="M144" s="12" t="s">
        <v>569</v>
      </c>
      <c r="N144" s="12"/>
    </row>
    <row r="145" customFormat="false" ht="15" hidden="false" customHeight="false" outlineLevel="0" collapsed="false">
      <c r="A145" s="4" t="n">
        <v>144</v>
      </c>
      <c r="B145" s="6" t="s">
        <v>152</v>
      </c>
      <c r="C145" s="4" t="s">
        <v>18</v>
      </c>
      <c r="D145" s="13" t="s">
        <v>821</v>
      </c>
      <c r="E145" s="4" t="s">
        <v>25</v>
      </c>
      <c r="F145" s="4" t="s">
        <v>669</v>
      </c>
      <c r="G145" s="13" t="s">
        <v>154</v>
      </c>
      <c r="H145" s="11" t="s">
        <v>156</v>
      </c>
      <c r="I145" s="4" t="s">
        <v>577</v>
      </c>
      <c r="J145" s="4" t="s">
        <v>567</v>
      </c>
      <c r="K145" s="11" t="s">
        <v>156</v>
      </c>
      <c r="L145" s="4" t="s">
        <v>568</v>
      </c>
      <c r="M145" s="12" t="s">
        <v>569</v>
      </c>
      <c r="N145" s="12"/>
    </row>
    <row r="146" customFormat="false" ht="15" hidden="false" customHeight="false" outlineLevel="0" collapsed="false">
      <c r="A146" s="8" t="n">
        <v>145</v>
      </c>
      <c r="B146" s="9" t="s">
        <v>158</v>
      </c>
      <c r="C146" s="8" t="s">
        <v>18</v>
      </c>
      <c r="D146" s="10" t="s">
        <v>822</v>
      </c>
      <c r="E146" s="8" t="s">
        <v>25</v>
      </c>
      <c r="F146" s="8" t="s">
        <v>25</v>
      </c>
      <c r="G146" s="10" t="s">
        <v>823</v>
      </c>
      <c r="H146" s="11" t="s">
        <v>160</v>
      </c>
      <c r="I146" s="8" t="s">
        <v>566</v>
      </c>
      <c r="J146" s="8" t="s">
        <v>567</v>
      </c>
      <c r="K146" s="11" t="s">
        <v>161</v>
      </c>
      <c r="L146" s="8" t="s">
        <v>568</v>
      </c>
      <c r="M146" s="12" t="s">
        <v>569</v>
      </c>
      <c r="N146" s="12"/>
    </row>
    <row r="147" customFormat="false" ht="15" hidden="false" customHeight="false" outlineLevel="0" collapsed="false">
      <c r="A147" s="4" t="n">
        <v>146</v>
      </c>
      <c r="B147" s="6" t="s">
        <v>158</v>
      </c>
      <c r="C147" s="4" t="s">
        <v>18</v>
      </c>
      <c r="D147" s="13" t="s">
        <v>824</v>
      </c>
      <c r="E147" s="4" t="s">
        <v>26</v>
      </c>
      <c r="F147" s="4" t="s">
        <v>26</v>
      </c>
      <c r="G147" s="13" t="s">
        <v>825</v>
      </c>
      <c r="H147" s="11" t="s">
        <v>826</v>
      </c>
      <c r="I147" s="4" t="s">
        <v>566</v>
      </c>
      <c r="J147" s="4" t="s">
        <v>567</v>
      </c>
      <c r="K147" s="11" t="s">
        <v>161</v>
      </c>
      <c r="L147" s="4" t="s">
        <v>568</v>
      </c>
      <c r="M147" s="12" t="s">
        <v>569</v>
      </c>
      <c r="N147" s="12"/>
    </row>
    <row r="148" customFormat="false" ht="15" hidden="false" customHeight="false" outlineLevel="0" collapsed="false">
      <c r="A148" s="8" t="n">
        <v>147</v>
      </c>
      <c r="B148" s="9" t="s">
        <v>237</v>
      </c>
      <c r="C148" s="8" t="s">
        <v>19</v>
      </c>
      <c r="D148" s="10" t="s">
        <v>827</v>
      </c>
      <c r="E148" s="8" t="s">
        <v>25</v>
      </c>
      <c r="F148" s="8" t="s">
        <v>25</v>
      </c>
      <c r="G148" s="10" t="s">
        <v>239</v>
      </c>
      <c r="H148" s="11" t="s">
        <v>240</v>
      </c>
      <c r="I148" s="8" t="s">
        <v>577</v>
      </c>
      <c r="J148" s="8" t="s">
        <v>604</v>
      </c>
      <c r="K148" s="11" t="s">
        <v>241</v>
      </c>
      <c r="L148" s="8" t="s">
        <v>568</v>
      </c>
      <c r="M148" s="12" t="s">
        <v>569</v>
      </c>
      <c r="N148" s="12"/>
    </row>
    <row r="149" customFormat="false" ht="15" hidden="false" customHeight="false" outlineLevel="0" collapsed="false">
      <c r="A149" s="4" t="n">
        <v>148</v>
      </c>
      <c r="B149" s="6" t="s">
        <v>476</v>
      </c>
      <c r="C149" s="4" t="s">
        <v>19</v>
      </c>
      <c r="D149" s="13" t="s">
        <v>828</v>
      </c>
      <c r="E149" s="4" t="s">
        <v>25</v>
      </c>
      <c r="F149" s="4" t="s">
        <v>25</v>
      </c>
      <c r="G149" s="13" t="s">
        <v>42</v>
      </c>
      <c r="H149" s="11" t="s">
        <v>477</v>
      </c>
      <c r="I149" s="4" t="s">
        <v>577</v>
      </c>
      <c r="J149" s="4" t="s">
        <v>829</v>
      </c>
      <c r="K149" s="11" t="s">
        <v>478</v>
      </c>
      <c r="L149" s="4" t="s">
        <v>568</v>
      </c>
      <c r="M149" s="12" t="s">
        <v>569</v>
      </c>
      <c r="N149" s="12"/>
    </row>
    <row r="150" customFormat="false" ht="15" hidden="false" customHeight="false" outlineLevel="0" collapsed="false">
      <c r="A150" s="8" t="n">
        <v>149</v>
      </c>
      <c r="B150" s="9" t="s">
        <v>433</v>
      </c>
      <c r="C150" s="8" t="s">
        <v>19</v>
      </c>
      <c r="D150" s="10" t="s">
        <v>830</v>
      </c>
      <c r="E150" s="8" t="s">
        <v>25</v>
      </c>
      <c r="F150" s="8" t="s">
        <v>661</v>
      </c>
      <c r="G150" s="10" t="s">
        <v>435</v>
      </c>
      <c r="H150" s="11" t="s">
        <v>436</v>
      </c>
      <c r="I150" s="8" t="s">
        <v>577</v>
      </c>
      <c r="J150" s="8" t="s">
        <v>676</v>
      </c>
      <c r="K150" s="11" t="s">
        <v>436</v>
      </c>
      <c r="L150" s="8" t="s">
        <v>568</v>
      </c>
      <c r="M150" s="12" t="s">
        <v>569</v>
      </c>
      <c r="N150" s="12"/>
    </row>
    <row r="151" customFormat="false" ht="15" hidden="false" customHeight="false" outlineLevel="0" collapsed="false">
      <c r="A151" s="4" t="n">
        <v>150</v>
      </c>
      <c r="B151" s="6" t="s">
        <v>480</v>
      </c>
      <c r="C151" s="4" t="s">
        <v>19</v>
      </c>
      <c r="D151" s="13" t="s">
        <v>831</v>
      </c>
      <c r="E151" s="4" t="s">
        <v>25</v>
      </c>
      <c r="F151" s="4" t="s">
        <v>25</v>
      </c>
      <c r="G151" s="13" t="s">
        <v>239</v>
      </c>
      <c r="H151" s="11" t="s">
        <v>481</v>
      </c>
      <c r="I151" s="4" t="s">
        <v>577</v>
      </c>
      <c r="J151" s="4" t="s">
        <v>723</v>
      </c>
      <c r="K151" s="11" t="s">
        <v>482</v>
      </c>
      <c r="L151" s="4" t="s">
        <v>568</v>
      </c>
      <c r="M151" s="12" t="s">
        <v>569</v>
      </c>
      <c r="N151" s="12"/>
    </row>
    <row r="152" customFormat="false" ht="15" hidden="false" customHeight="false" outlineLevel="0" collapsed="false">
      <c r="A152" s="8" t="n">
        <v>151</v>
      </c>
      <c r="B152" s="9" t="s">
        <v>471</v>
      </c>
      <c r="C152" s="8" t="s">
        <v>19</v>
      </c>
      <c r="D152" s="10" t="s">
        <v>649</v>
      </c>
      <c r="E152" s="8" t="s">
        <v>25</v>
      </c>
      <c r="F152" s="8" t="s">
        <v>25</v>
      </c>
      <c r="G152" s="10" t="s">
        <v>473</v>
      </c>
      <c r="H152" s="11" t="s">
        <v>474</v>
      </c>
      <c r="I152" s="8" t="s">
        <v>566</v>
      </c>
      <c r="J152" s="8" t="s">
        <v>567</v>
      </c>
      <c r="K152" s="11" t="s">
        <v>475</v>
      </c>
      <c r="L152" s="8" t="s">
        <v>568</v>
      </c>
      <c r="M152" s="12" t="s">
        <v>569</v>
      </c>
      <c r="N152" s="12"/>
    </row>
    <row r="153" customFormat="false" ht="15" hidden="false" customHeight="false" outlineLevel="0" collapsed="false">
      <c r="A153" s="4" t="n">
        <v>152</v>
      </c>
      <c r="B153" s="6" t="s">
        <v>227</v>
      </c>
      <c r="C153" s="4" t="s">
        <v>19</v>
      </c>
      <c r="D153" s="13" t="s">
        <v>832</v>
      </c>
      <c r="E153" s="4" t="s">
        <v>24</v>
      </c>
      <c r="F153" s="4" t="s">
        <v>833</v>
      </c>
      <c r="G153" s="13" t="s">
        <v>627</v>
      </c>
      <c r="H153" s="11" t="s">
        <v>834</v>
      </c>
      <c r="I153" s="4" t="s">
        <v>577</v>
      </c>
      <c r="J153" s="4" t="s">
        <v>604</v>
      </c>
      <c r="K153" s="11" t="s">
        <v>230</v>
      </c>
      <c r="L153" s="4" t="s">
        <v>568</v>
      </c>
      <c r="M153" s="12" t="s">
        <v>569</v>
      </c>
      <c r="N153" s="12"/>
    </row>
    <row r="154" customFormat="false" ht="15" hidden="false" customHeight="false" outlineLevel="0" collapsed="false">
      <c r="A154" s="8" t="n">
        <v>153</v>
      </c>
      <c r="B154" s="9" t="s">
        <v>227</v>
      </c>
      <c r="C154" s="8" t="s">
        <v>19</v>
      </c>
      <c r="D154" s="10" t="s">
        <v>835</v>
      </c>
      <c r="E154" s="8" t="s">
        <v>24</v>
      </c>
      <c r="F154" s="8" t="s">
        <v>24</v>
      </c>
      <c r="G154" s="10" t="s">
        <v>772</v>
      </c>
      <c r="H154" s="11" t="s">
        <v>229</v>
      </c>
      <c r="I154" s="8" t="s">
        <v>566</v>
      </c>
      <c r="J154" s="8" t="s">
        <v>727</v>
      </c>
      <c r="K154" s="11" t="s">
        <v>230</v>
      </c>
      <c r="L154" s="8" t="s">
        <v>568</v>
      </c>
      <c r="M154" s="12" t="s">
        <v>569</v>
      </c>
      <c r="N154" s="12"/>
    </row>
    <row r="155" customFormat="false" ht="15" hidden="false" customHeight="false" outlineLevel="0" collapsed="false">
      <c r="A155" s="4" t="n">
        <v>154</v>
      </c>
      <c r="B155" s="6" t="s">
        <v>222</v>
      </c>
      <c r="C155" s="4" t="s">
        <v>19</v>
      </c>
      <c r="D155" s="13" t="s">
        <v>836</v>
      </c>
      <c r="E155" s="4" t="s">
        <v>25</v>
      </c>
      <c r="F155" s="4" t="s">
        <v>25</v>
      </c>
      <c r="G155" s="13" t="s">
        <v>214</v>
      </c>
      <c r="H155" s="11" t="s">
        <v>224</v>
      </c>
      <c r="I155" s="4" t="s">
        <v>566</v>
      </c>
      <c r="J155" s="4" t="s">
        <v>567</v>
      </c>
      <c r="K155" s="11" t="s">
        <v>225</v>
      </c>
      <c r="L155" s="4" t="s">
        <v>568</v>
      </c>
      <c r="M155" s="12" t="s">
        <v>569</v>
      </c>
      <c r="N155" s="12"/>
    </row>
    <row r="156" customFormat="false" ht="15" hidden="false" customHeight="false" outlineLevel="0" collapsed="false">
      <c r="A156" s="8" t="n">
        <v>155</v>
      </c>
      <c r="B156" s="9" t="s">
        <v>438</v>
      </c>
      <c r="C156" s="8" t="s">
        <v>19</v>
      </c>
      <c r="D156" s="10" t="s">
        <v>837</v>
      </c>
      <c r="E156" s="8" t="s">
        <v>26</v>
      </c>
      <c r="F156" s="8" t="s">
        <v>838</v>
      </c>
      <c r="G156" s="10" t="s">
        <v>171</v>
      </c>
      <c r="H156" s="11" t="s">
        <v>440</v>
      </c>
      <c r="I156" s="8" t="s">
        <v>566</v>
      </c>
      <c r="J156" s="8" t="s">
        <v>839</v>
      </c>
      <c r="K156" s="11" t="s">
        <v>441</v>
      </c>
      <c r="L156" s="8" t="s">
        <v>568</v>
      </c>
      <c r="M156" s="12" t="s">
        <v>569</v>
      </c>
      <c r="N156" s="12"/>
    </row>
    <row r="157" customFormat="false" ht="15" hidden="false" customHeight="false" outlineLevel="0" collapsed="false">
      <c r="A157" s="4" t="n">
        <v>156</v>
      </c>
      <c r="B157" s="6" t="s">
        <v>427</v>
      </c>
      <c r="C157" s="4" t="s">
        <v>19</v>
      </c>
      <c r="D157" s="13" t="s">
        <v>840</v>
      </c>
      <c r="E157" s="4" t="s">
        <v>25</v>
      </c>
      <c r="F157" s="4" t="s">
        <v>25</v>
      </c>
      <c r="G157" s="13" t="s">
        <v>429</v>
      </c>
      <c r="H157" s="11" t="s">
        <v>430</v>
      </c>
      <c r="I157" s="4" t="s">
        <v>577</v>
      </c>
      <c r="J157" s="4" t="s">
        <v>604</v>
      </c>
      <c r="K157" s="11" t="s">
        <v>431</v>
      </c>
      <c r="L157" s="4" t="s">
        <v>568</v>
      </c>
      <c r="M157" s="12" t="s">
        <v>569</v>
      </c>
      <c r="N157" s="12"/>
    </row>
    <row r="158" customFormat="false" ht="15" hidden="false" customHeight="false" outlineLevel="0" collapsed="false">
      <c r="A158" s="8" t="n">
        <v>157</v>
      </c>
      <c r="B158" s="9" t="s">
        <v>535</v>
      </c>
      <c r="C158" s="8" t="s">
        <v>19</v>
      </c>
      <c r="D158" s="10" t="s">
        <v>841</v>
      </c>
      <c r="E158" s="8" t="s">
        <v>25</v>
      </c>
      <c r="F158" s="8" t="s">
        <v>842</v>
      </c>
      <c r="G158" s="10" t="s">
        <v>536</v>
      </c>
      <c r="H158" s="11" t="s">
        <v>537</v>
      </c>
      <c r="I158" s="8" t="s">
        <v>577</v>
      </c>
      <c r="J158" s="8" t="s">
        <v>604</v>
      </c>
      <c r="K158" s="11" t="s">
        <v>538</v>
      </c>
      <c r="L158" s="8" t="s">
        <v>568</v>
      </c>
      <c r="M158" s="12" t="s">
        <v>569</v>
      </c>
      <c r="N158" s="12"/>
    </row>
    <row r="159" customFormat="false" ht="15" hidden="false" customHeight="false" outlineLevel="0" collapsed="false">
      <c r="A159" s="4" t="n">
        <v>158</v>
      </c>
      <c r="B159" s="6" t="s">
        <v>232</v>
      </c>
      <c r="C159" s="4" t="s">
        <v>19</v>
      </c>
      <c r="D159" s="13" t="s">
        <v>843</v>
      </c>
      <c r="E159" s="4" t="s">
        <v>25</v>
      </c>
      <c r="F159" s="4" t="s">
        <v>25</v>
      </c>
      <c r="G159" s="13" t="s">
        <v>214</v>
      </c>
      <c r="H159" s="11" t="s">
        <v>234</v>
      </c>
      <c r="I159" s="4" t="s">
        <v>566</v>
      </c>
      <c r="J159" s="4" t="s">
        <v>598</v>
      </c>
      <c r="K159" s="11" t="s">
        <v>235</v>
      </c>
      <c r="L159" s="4" t="s">
        <v>568</v>
      </c>
      <c r="M159" s="12" t="s">
        <v>569</v>
      </c>
      <c r="N159" s="12"/>
    </row>
    <row r="160" customFormat="false" ht="15" hidden="false" customHeight="false" outlineLevel="0" collapsed="false">
      <c r="A160" s="8" t="n">
        <v>159</v>
      </c>
      <c r="B160" s="9" t="s">
        <v>96</v>
      </c>
      <c r="C160" s="8" t="s">
        <v>19</v>
      </c>
      <c r="D160" s="10" t="s">
        <v>844</v>
      </c>
      <c r="E160" s="8" t="s">
        <v>25</v>
      </c>
      <c r="F160" s="8" t="s">
        <v>25</v>
      </c>
      <c r="G160" s="10" t="s">
        <v>42</v>
      </c>
      <c r="H160" s="11" t="s">
        <v>98</v>
      </c>
      <c r="I160" s="8" t="s">
        <v>566</v>
      </c>
      <c r="J160" s="8" t="s">
        <v>683</v>
      </c>
      <c r="K160" s="11" t="s">
        <v>99</v>
      </c>
      <c r="L160" s="8" t="s">
        <v>568</v>
      </c>
      <c r="M160" s="12" t="s">
        <v>569</v>
      </c>
      <c r="N160" s="12"/>
    </row>
    <row r="161" customFormat="false" ht="15" hidden="false" customHeight="false" outlineLevel="0" collapsed="false">
      <c r="A161" s="4" t="n">
        <v>160</v>
      </c>
      <c r="B161" s="6" t="s">
        <v>96</v>
      </c>
      <c r="C161" s="4" t="s">
        <v>19</v>
      </c>
      <c r="D161" s="13" t="s">
        <v>845</v>
      </c>
      <c r="E161" s="4" t="s">
        <v>25</v>
      </c>
      <c r="F161" s="4" t="s">
        <v>25</v>
      </c>
      <c r="G161" s="13" t="s">
        <v>42</v>
      </c>
      <c r="H161" s="11" t="s">
        <v>846</v>
      </c>
      <c r="I161" s="4" t="s">
        <v>566</v>
      </c>
      <c r="J161" s="4" t="s">
        <v>645</v>
      </c>
      <c r="K161" s="11" t="s">
        <v>99</v>
      </c>
      <c r="L161" s="4" t="s">
        <v>568</v>
      </c>
      <c r="M161" s="12" t="s">
        <v>569</v>
      </c>
      <c r="N161" s="12"/>
    </row>
  </sheetData>
  <autoFilter ref="A1:N161"/>
  <dataValidations count="1">
    <dataValidation allowBlank="true" errorStyle="stop" operator="between" showDropDown="false" showErrorMessage="false" showInputMessage="false" sqref="M2:M161" type="list">
      <formula1>"Not applied,Applied,Referral asked,Interviewing,Offer,Rejected,Closed"</formula1>
      <formula2>0</formula2>
    </dataValidation>
  </dataValidations>
  <hyperlinks>
    <hyperlink ref="H2" r:id="rId1" display="https://www.accenture.com/us-en/careers/jobdetails?id=R00284179_en"/>
    <hyperlink ref="K2" r:id="rId2" display="https://www.accenture.com/in-en/careers/explore-careers/area-of-interest/strategy-careers"/>
    <hyperlink ref="H3" r:id="rId3" display="https://www.accenture.com/us-en/careers/jobdetails?id=R00305688_en"/>
    <hyperlink ref="K3" r:id="rId4" display="https://www.accenture.com/in-en/careers/explore-careers/area-of-interest/strategy-careers"/>
    <hyperlink ref="H4" r:id="rId5" display="https://www.accenture.com/us-en/careers/jobdetails?id=R00305675_en"/>
    <hyperlink ref="K4" r:id="rId6" display="https://www.accenture.com/in-en/careers/explore-careers/area-of-interest/strategy-careers"/>
    <hyperlink ref="H5" r:id="rId7" display="https://careers.alvarezandmarsal.com/search/jobs/in/country/india"/>
    <hyperlink ref="K5" r:id="rId8" display="https://careers.alvarezandmarsal.com/"/>
    <hyperlink ref="H6" r:id="rId9" display="https://www.bain.com/careers/find-a-role/position/?jobid=102140"/>
    <hyperlink ref="K6" r:id="rId10" display="https://www.bain.com/careers/"/>
    <hyperlink ref="H7" r:id="rId11" display="https://www.bain.com/careers/find-a-role/position/?jobid=90399"/>
    <hyperlink ref="K7" r:id="rId12" display="https://www.bain.com/careers/"/>
    <hyperlink ref="H8" r:id="rId13" display="https://careers.bcg.com/global/en/locations/india"/>
    <hyperlink ref="K8" r:id="rId14" display="https://careers.bcg.com/global/en/locations/india"/>
    <hyperlink ref="H9" r:id="rId15" display="https://job-boards.greenhouse.io/capco/jobs/7278632"/>
    <hyperlink ref="K9" r:id="rId16" display="https://job-boards.greenhouse.io/capco"/>
    <hyperlink ref="H10" r:id="rId17" display="https://www.capgemini.com/in-en/careers/"/>
    <hyperlink ref="K10" r:id="rId18" display="https://in.linkedin.com/company/capgemini/jobs"/>
    <hyperlink ref="H11" r:id="rId19" display="https://careers.cognizant.com/us-en/jobs/00066270001/cards-and-payments-business-analyst/"/>
    <hyperlink ref="K11" r:id="rId20" display="https://careers.cognizant.com/india-en/"/>
    <hyperlink ref="H12" r:id="rId21" display="https://careers.cognizant.com/india-en/jobs/00066859891/consulting-analyst/"/>
    <hyperlink ref="K12" r:id="rId22" display="https://careers.cognizant.com/india-en/"/>
    <hyperlink ref="H13" r:id="rId23" display="https://southasiacareers.deloitte.com/job/Bengaluru-Consultant-Financial-Services-Mumbai-Customer-Strategy-&amp;-Design/54711044"/>
    <hyperlink ref="K13" r:id="rId24" display="https://southasiacareers.deloitte.com/"/>
    <hyperlink ref="H14" r:id="rId25" display="https://southasiacareers.deloitte.com/job/Bengaluru-Senior-Consultant-BA-General-Banking-Bengaluru-Customer-Strategy-&amp;-Design/58394444/"/>
    <hyperlink ref="K14" r:id="rId26" display="https://southasiacareers.deloitte.com/"/>
    <hyperlink ref="H15" r:id="rId27" display="https://southasiacareers.deloitte.com/job/Bengaluru-T&amp;T-Customer-Customer-Strategy-&amp;-Design-Senior-Consultant-FX-PM/54382744/"/>
    <hyperlink ref="K15" r:id="rId28" display="https://southasiacareers.deloitte.com/"/>
    <hyperlink ref="H16" r:id="rId29" display="https://careers.ey.com/ey/job/Mumbai-Senior-Consultant-Business-Consulting-PI-FS-CNS-BC-Marketing-Sales-&amp;-Service-Bangalore-MH-400028/1366215433/"/>
    <hyperlink ref="K16" r:id="rId30" display="https://www.ey.com/en_in/careers/consulting"/>
    <hyperlink ref="H17" r:id="rId31" display="https://www.ziprecruiter.in/jobs/607454079-consultant-business-consulting-pi-fs-cns-bc-marketing-sales-service-mumbai-at-ernst-young"/>
    <hyperlink ref="K17" r:id="rId32" display="https://www.ey.com/en_in/careers/consulting"/>
    <hyperlink ref="H18" r:id="rId33" display="https://www.ey.com/en_in/careers/parthenon"/>
    <hyperlink ref="K18" r:id="rId34" display="https://in.linkedin.com/jobs/ey-parthenon-jobs"/>
    <hyperlink ref="H19" r:id="rId35" display="https://in.linkedin.com/jobs/genpact-jobs"/>
    <hyperlink ref="K19" r:id="rId36" display="https://www.linkedin.com/company/genpact"/>
    <hyperlink ref="H20" r:id="rId37" display="https://www.grantthornton.in/current-opportunities/"/>
    <hyperlink ref="K20" r:id="rId38" display="https://www.grantthornton.in/services/consulting/business-consulting/financial-services-consulting/"/>
    <hyperlink ref="H21" r:id="rId39" display="https://www.kearney.com/about/locations/india/careers"/>
    <hyperlink ref="K21" r:id="rId40" display="https://www.kearney.com/careers/opportunities"/>
    <hyperlink ref="H22" r:id="rId41" display="https://www.foundit.in/search/kpmg-jobs-in-gurgaon-gurugram"/>
    <hyperlink ref="K22" r:id="rId42" display="https://kpmg.com/in/en/careers.html"/>
    <hyperlink ref="H23" r:id="rId43" display="https://mckinsey.com/careers/search-jobs/jobs/capabilitiesandinsightsanalyst-panoramafinancialinstitutionscenter-97040"/>
    <hyperlink ref="K23" r:id="rId44" display="https://www.mckinsey.com/in/careers-in-india"/>
    <hyperlink ref="H24" r:id="rId45" display="https://www.oliverwyman.com/careers.html"/>
    <hyperlink ref="K24" r:id="rId46" display="https://www.oliverwyman.com/careers.html"/>
    <hyperlink ref="H25" r:id="rId47" display="https://bebee.com/in/jobs/praxis-global-alliance-consultant-praxis-global-alliance-mumbai-maharashtra--t7xk-780504220"/>
    <hyperlink ref="K25" r:id="rId48" display="https://www.praxisga.com/career"/>
    <hyperlink ref="H26" r:id="rId49" display="https://www.naukri.com/protiviti-jobs"/>
    <hyperlink ref="K26" r:id="rId50" display="https://in.linkedin.com/company/protiviti-india-member-firm"/>
    <hyperlink ref="H27" r:id="rId51" display="https://bebee.com/in/jobs/in-associate-fs-consulting-financial-services-advisory-mumbai-pwc-india-mumbai-city--fj-2137359807"/>
    <hyperlink ref="K27" r:id="rId52" display="https://www.pwc.in/careers/job-search.html"/>
    <hyperlink ref="H28" r:id="rId53" display="https://www.naukri.com/redseer-consulting-jobs-careers-703413"/>
    <hyperlink ref="K28" r:id="rId54" display="https://in.linkedin.com/company/redseer"/>
    <hyperlink ref="H29" r:id="rId55" display="https://www.rolandberger.com/en/Join/All-Jobs/"/>
    <hyperlink ref="K29" r:id="rId56" display="https://www.rolandberger.com/en/India/"/>
    <hyperlink ref="H30" r:id="rId57" display="https://www.simon-kucher.com/en/careers"/>
    <hyperlink ref="K30" r:id="rId58" display="https://www.simon-kucher.com/en/country/india"/>
    <hyperlink ref="H31" r:id="rId59" display="https://www.jobaaj.com/job/tata-consultancy-services-limited-bfsi-analyst-delhi-ncr-1-to-2-years-582906"/>
    <hyperlink ref="K31" r:id="rId60" display="https://www.tcs.com/careers/india"/>
    <hyperlink ref="H32" r:id="rId61" display="https://www.themuse.com/jobs/wipro/consulting-partner-payments-2d9ff3"/>
    <hyperlink ref="K32" r:id="rId62" display="https://careers.wipro.com/content/Experienced-Professionals/?locale=en_US"/>
    <hyperlink ref="H33" r:id="rId63" display="https://themuse.com/jobs/wipro/managing-consultant-9c3fee"/>
    <hyperlink ref="K33" r:id="rId64" display="https://careers.wipro.com/content/Experienced-Professionals/?locale=en_US"/>
    <hyperlink ref="H34" r:id="rId65" display="https://in.linkedin.com/jobs/wipro-domain-consultant-jobs"/>
    <hyperlink ref="K34" r:id="rId66" display="https://careers.wipro.com/content/Experienced-Professionals/?locale=en_US"/>
    <hyperlink ref="H35" r:id="rId67" display="https://in.linkedin.com/jobs/view/unit-manager-payments-upi-senior-unit-manager-payments-upi-at-bajaj-finserv-4034756746"/>
    <hyperlink ref="K35" r:id="rId68" display="https://in.linkedin.com/jobs/bajaj-finserv-digital-product-manager-jobs"/>
    <hyperlink ref="H36" r:id="rId69" display="https://unstop.com/jobs/manager-digital-product-finance-growth-bajaj-finserv-1118854"/>
    <hyperlink ref="K36" r:id="rId70" display="https://in.linkedin.com/jobs/bajaj-finserv-digital-product-manager-jobs"/>
    <hyperlink ref="H37" r:id="rId71" display="https://jobs.insightpartners.com/companies/bharatpe-2/jobs/79697323-senior-product-manager"/>
    <hyperlink ref="K37" r:id="rId72" display="https://in.linkedin.com/company/bharatpe/jobs"/>
    <hyperlink ref="H38" r:id="rId73" display="https://careers.kula.ai/cashfree/18060-product-manager-2"/>
    <hyperlink ref="K38" r:id="rId74" display="https://careers.kula.ai/cashfree"/>
    <hyperlink ref="H39" r:id="rId75" display="https://startup.jobs/product-manager-growth-platform-cashfree-3691649"/>
    <hyperlink ref="K39" r:id="rId76" display="https://careers.kula.ai/cashfree"/>
    <hyperlink ref="H40" r:id="rId77" display="https://startup.jobs/product-manager-growth-cred_club-3005748"/>
    <hyperlink ref="K40" r:id="rId78" display="https://careers.cred.club/openings"/>
    <hyperlink ref="H41" r:id="rId79" display="https://startup.jobs/product-manager-platform-cred_club-7797651"/>
    <hyperlink ref="K41" r:id="rId80" display="https://careers.cred.club/openings"/>
    <hyperlink ref="H42" r:id="rId81" display="https://wellfound.com/jobs/1069063-product-manager"/>
    <hyperlink ref="K42" r:id="rId82" display="https://www.linkedin.com/jobs/search/?keywords=Decentro&amp;location=India"/>
    <hyperlink ref="H43" r:id="rId83" display="https://startup.jobs/chief-product-officer-easebuzz-6440327"/>
    <hyperlink ref="K43" r:id="rId84" display="https://easebuzz.in/careers/"/>
    <hyperlink ref="H44" r:id="rId85" display="https://www.instahyre.com/job-116137-product-manager-senior-product-manager-at-enkash-bangalore-gurgaon-mumbai/"/>
    <hyperlink ref="K44" r:id="rId86" display="https://www.linkedin.com/jobs/search/?keywords=EnKash&amp;location=India"/>
    <hyperlink ref="H45" r:id="rId87" display="https://cutshort.io/job/Intern-Product-Management-Bengaluru-Bangalore-Fi-Money-LoeMgFiB"/>
    <hyperlink ref="K45" r:id="rId88" display="https://www.linkedin.com/jobs/search/?keywords=Fi%20Money&amp;location=India"/>
    <hyperlink ref="H46" r:id="rId89" display="https://www.instahyre.com/job-414204-product-manager-at-groww-2-bangalore/"/>
    <hyperlink ref="K46" r:id="rId90" display="https://www.uplers.com/company/groww-8773"/>
    <hyperlink ref="H47" r:id="rId91" display="https://www.instahyre.com/job-299429-associate-product-manager-at-hyperface-bangalore/"/>
    <hyperlink ref="K47" r:id="rId92" display="https://www.linkedin.com/jobs/search/?keywords=Hyperface&amp;location=India"/>
    <hyperlink ref="H48" r:id="rId93" display="https://www.instahyre.com/jobs-at-innoviti-payment-solutions/"/>
    <hyperlink ref="K48" r:id="rId94" display="https://cutshort.io/company/innoviti-payment-solutions-iopb4uFm"/>
    <hyperlink ref="H49" r:id="rId95" display="https://www.instahyre.com/job-131755-product-manager-at-jupiter-2-bangalore/"/>
    <hyperlink ref="K49" r:id="rId96" display="https://www.linkedin.com/jobs/search/?keywords=Jupiter%20Money&amp;location=India"/>
    <hyperlink ref="H50" r:id="rId97" display="https://www.instahyre.com/job-74182-product-manager-apm-at-juspay-bangalore/"/>
    <hyperlink ref="K50" r:id="rId98" display="https://in.linkedin.com/jobs/juspay-jobs"/>
    <hyperlink ref="H51" r:id="rId99" display="https://in.linkedin.com/jobs/view/business-development-manager-at-juspay-4441197291"/>
    <hyperlink ref="K51" r:id="rId100" display="https://in.linkedin.com/jobs/juspay-jobs"/>
    <hyperlink ref="H52" r:id="rId101" display="https://www.iimjobs.com/j/m-2-p-fintech-product-manager-3-6-yrs-1420797"/>
    <hyperlink ref="K52" r:id="rId102" display="https://careers.m2pfintech.com/"/>
    <hyperlink ref="H53" r:id="rId103" display="https://bebee.com/in/jobs/associate-director-payments-m2p-fintech-chennai-tamil-nadu--t7xk-798903653"/>
    <hyperlink ref="K53" r:id="rId104" display="https://careers.m2pfintech.com/"/>
    <hyperlink ref="H54" r:id="rId105" display="https://www.instahyre.com/job-116220-product-manager-at-mobikwik-2-gurgaon/"/>
    <hyperlink ref="K54" r:id="rId106" display="https://www.mobikwik.com/careers"/>
    <hyperlink ref="H55" r:id="rId107" display="https://www.iimjobs.com/j/one-mobikwik-systems-manager-growth-marketing-1674275"/>
    <hyperlink ref="K55" r:id="rId108" display="https://www.mobikwik.com/careers"/>
    <hyperlink ref="H56" r:id="rId109" display="https://www.uplers.com/company/navi-4688"/>
    <hyperlink ref="K56" r:id="rId110" display="https://in.linkedin.com/company/go-navi"/>
    <hyperlink ref="H57" r:id="rId111" display="https://wellfound.com/company/getonecard/jobs"/>
    <hyperlink ref="K57" r:id="rId112" display="https://www.getonecard.app/careers/"/>
    <hyperlink ref="H58" r:id="rId113" display="https://www.instahyre.com/job-249880-lead-product-manager-at-open-financial-technologies-bangalore/"/>
    <hyperlink ref="K58" r:id="rId114" display="https://www.linkedin.com/jobs/search/?keywords=Open%20Financial%20Technologies&amp;location=India"/>
    <hyperlink ref="H59" r:id="rId115" display="https://www.foundit.in/job/senior-product-manager-open-financial-technologies-bengaluru-bangalore-39061518"/>
    <hyperlink ref="K59" r:id="rId116" display="https://www.linkedin.com/jobs/search/?keywords=Open%20Financial%20Technologies&amp;location=India"/>
    <hyperlink ref="H60" r:id="rId117" display="https://jobs.lever.co/paytm/64241793-684f-4dde-9447-36a14e499d4e"/>
    <hyperlink ref="K60" r:id="rId118" display="https://jobs.lever.co/paytm"/>
    <hyperlink ref="H61" r:id="rId119" display="https://jobs.lever.co/paytm/96a54691-f0c2-46d8-88d1-ee0a84b3b046"/>
    <hyperlink ref="K61" r:id="rId120" display="https://jobs.lever.co/paytm"/>
    <hyperlink ref="H62" r:id="rId121" display="https://jobs.lever.co/paytm/5d6ad294-c8ac-49b6-9142-e7d67cb6af8a"/>
    <hyperlink ref="K62" r:id="rId122" display="https://jobs.lever.co/paytm"/>
    <hyperlink ref="H63" r:id="rId123" display="https://jobs.lever.co/paytmpayments/bfa2ae56-2653-4c57-b612-626e38b1bfba"/>
    <hyperlink ref="K63" r:id="rId124" display="https://jobs.lever.co/paytmpayments"/>
    <hyperlink ref="H64" r:id="rId125" display="https://careers.payu.in/PayU/job/Bengaluru-Product-Manager-Merchant-Management/3966280/"/>
    <hyperlink ref="K64" r:id="rId126" display="https://in.linkedin.com/jobs/payu-jobs"/>
    <hyperlink ref="H65" r:id="rId127" display="https://careers.payu.in/PayU/job/Gurgaon-Product-Manager-PPI/4097880/"/>
    <hyperlink ref="K65" r:id="rId128" display="https://in.linkedin.com/jobs/payu-jobs"/>
    <hyperlink ref="H66" r:id="rId129" display="https://in.linkedin.com/jobs/view/product-manager-at-phonepe-4397787803"/>
    <hyperlink ref="K66" r:id="rId130" display="https://www.phonepe.com/careers/job-openings/"/>
    <hyperlink ref="H67" r:id="rId131" display="https://job-boards.greenhouse.io/phonepe/jobs/6547928003"/>
    <hyperlink ref="K67" r:id="rId132" display="https://www.phonepe.com/careers/job-openings/"/>
    <hyperlink ref="H68" r:id="rId133" display="https://www.instahyre.com/job-131077-product-manager-senior-product-manager-at-pine-labs-2-bangalore-noida/"/>
    <hyperlink ref="K68" r:id="rId134" display="https://www.pinelabs.com/careers/open-jobs"/>
    <hyperlink ref="H69" r:id="rId135" display="https://in.linkedin.com/jobs/view/senior-product-manager-growth-at-razorpay-4416243265"/>
    <hyperlink ref="K69" r:id="rId136" display="https://razorpay.com/careers/"/>
    <hyperlink ref="H70" r:id="rId137" display="https://in.linkedin.com/jobs/view/product-manager-ii-at-razorpay-4420907605"/>
    <hyperlink ref="K70" r:id="rId138" display="https://razorpay.com/careers/"/>
    <hyperlink ref="H71" r:id="rId139" display="https://www.instahyre.com/job-110024-product-manager-upi-at-slice-bangalore/"/>
    <hyperlink ref="K71" r:id="rId140" display="https://www.linkedin.com/jobs/search/?keywords=slice&amp;location=India"/>
    <hyperlink ref="H72" r:id="rId141" display="https://www.instahyre.com/job-322245-product-manager-at-slice-bangalore/"/>
    <hyperlink ref="K72" r:id="rId142" display="https://www.linkedin.com/jobs/search/?keywords=slice&amp;location=India"/>
    <hyperlink ref="H73" r:id="rId143" display="https://www.jobaaj.com/job/supermoney-product-manager-bengaluru-bangalore-karnataka-2-to-4-years-1280733"/>
    <hyperlink ref="K73" r:id="rId144" display="https://in.linkedin.com/company/getsupermoney"/>
    <hyperlink ref="H74" r:id="rId145" display="https://www.instahyre.com/job-120279-product-manager-at-uni-cards-2-bangalore/"/>
    <hyperlink ref="K74" r:id="rId146" display="https://www.linkedin.com/jobs/search/?keywords=Uni%20Cards&amp;location=India"/>
    <hyperlink ref="H75" r:id="rId147" display="https://cutshort.io/job/Product-Manager-II-Bengaluru-Bangalore-Uni-Cards-gCREBX2R"/>
    <hyperlink ref="K75" r:id="rId148" display="https://www.linkedin.com/jobs/search/?keywords=Uni%20Cards&amp;location=India"/>
    <hyperlink ref="H76" r:id="rId149" display="https://www.instahyre.com/job-307355-business-head-at-zaggle-mumbai/"/>
    <hyperlink ref="K76" r:id="rId150" display="https://www.uplers.com/company/zaggle-3962"/>
    <hyperlink ref="H77" r:id="rId151" display="https://www.iimjobs.com/j/airtel-payments-bank-product-manager-payments-1269762"/>
    <hyperlink ref="K77" r:id="rId152" display="https://www.naukri.com/airtel-payments-bank-jobs-in-gurgaon-gurugram"/>
    <hyperlink ref="H78" r:id="rId153" display="https://www.foundit.in/job/product-manager-analytics-background-airtel-payments-bank-gurugram-58673415"/>
    <hyperlink ref="K78" r:id="rId154" display="https://www.naukri.com/airtel-payments-bank-jobs-in-gurgaon-gurugram"/>
    <hyperlink ref="H79" r:id="rId155" display="https://www.iimjobs.com/j/airtel-payments-bank-product-manager-salary-mfi-1604171"/>
    <hyperlink ref="K79" r:id="rId156" display="https://www.naukri.com/airtel-payments-bank-jobs-in-gurgaon-gurugram"/>
    <hyperlink ref="H80" r:id="rId157" display="https://www.iimjobs.com/j/axis-bank-product-manager-payments-products-3-12-yrs-863888"/>
    <hyperlink ref="K80" r:id="rId158" display="https://www.axisbank.com/careers-new"/>
    <hyperlink ref="H81" r:id="rId159" display="https://in.expertini.com/jobs/in/rb-cardsproduct-manager-digital-payments-team-mumbai-axis-bank/"/>
    <hyperlink ref="K81" r:id="rId160" display="https://www.axisbank.com/careers-new"/>
    <hyperlink ref="H82" r:id="rId161" display="https://www.foundit.in/job/rb-cards-debit-cards-product-manager-axis-bank-mumbai-36445272"/>
    <hyperlink ref="K82" r:id="rId162" display="https://www.axisbank.com/careers-new"/>
    <hyperlink ref="H83" r:id="rId163" display="https://www.themuse.com/jobs/bankofamerica/upto-director-trade-product-manager-global-payments-solutions-india"/>
    <hyperlink ref="K83" r:id="rId164" display="https://www.linkedin.com/jobs/search/?keywords=Bank%20of%20America&amp;location=India"/>
    <hyperlink ref="H84" r:id="rId165" display="https://search.jobs.barclays/job/pune/transaction-banking-product-manager-payments-and-foreign-exchange-vp/13015/82655573792"/>
    <hyperlink ref="K84" r:id="rId166" display="https://search.jobs.barclays/location/pune-maharashtra-india-jobs/13015/1269750-1264418-1259229/4"/>
    <hyperlink ref="H85" r:id="rId167" display="https://search.jobs.barclays/job/pune/barclaycard-payments-product-manager-avp/13015/82461453824"/>
    <hyperlink ref="K85" r:id="rId168" display="https://search.jobs.barclays/location/pune-maharashtra-india-jobs/13015/1269750-1264418-1259229/4"/>
    <hyperlink ref="H86" r:id="rId169" display="https://www.glassdoor.co.in/Jobs/BNY-Jobs-E78.htm"/>
    <hyperlink ref="K86" r:id="rId170" display="https://www.bny.com/corporate/global/en/careers.html/"/>
    <hyperlink ref="H87" r:id="rId171" display="https://jobs.citi.com/job/mumbai/services-full-time-analyst-india-2026/287/89151139152"/>
    <hyperlink ref="K87" r:id="rId172" display="https://jobs.citi.com/pune"/>
    <hyperlink ref="H88" r:id="rId173" display="https://builtin.com/job/product-management/4458908"/>
    <hyperlink ref="K88" r:id="rId174" display="https://careers.db.com/explore-the-bank/locations/asia-pacific/pune"/>
    <hyperlink ref="H89" r:id="rId175" display="https://www.iimjobs.com/company/fino-payments-bank-careers"/>
    <hyperlink ref="K89" r:id="rId176" display="https://www.fino.bank.in/company/careers"/>
    <hyperlink ref="H90" r:id="rId177" display="https://getmereferred.com/job-listing/transaction-bankingbengaluruvice-presidentproduct-management-goldman-sachs-bengaluru-8-to-10-years-experience-8565e99d-1089-440f-9a61-ba71584cdb85"/>
    <hyperlink ref="K90" r:id="rId178" display="https://higher.gs.com/"/>
    <hyperlink ref="H91" r:id="rId179" display="https://www.jobaaj.com/job/goldman-sachs-transaction-banking-division-bengaluru-analyst-product-management-bengaluru-3-to-5-years-31204"/>
    <hyperlink ref="K91" r:id="rId180" display="https://higher.gs.com/"/>
    <hyperlink ref="H92" r:id="rId181" display="https://higher.gs.com/roles/152951"/>
    <hyperlink ref="K92" r:id="rId182" display="https://higher.gs.com/"/>
    <hyperlink ref="H93" r:id="rId183" display="https://in.linkedin.com/jobs/hdfc-bank-product-management-jobs"/>
    <hyperlink ref="K93" r:id="rId184" display="https://www.hdfcbank.com/personal/about-us/careers"/>
    <hyperlink ref="H94" r:id="rId185" display="https://portal.careers.hsbc.com/careers?location=India"/>
    <hyperlink ref="K94" r:id="rId186" display="https://portal.careers.hsbc.com/careers?location=India"/>
    <hyperlink ref="H95" r:id="rId187" display="https://www.iimjobs.com/j/icici-bank-product-manager-cards-iim-mdi-isb-fms-1-10-yrs-879114"/>
    <hyperlink ref="K95" r:id="rId188" display="https://www.linkedin.com/jobs/search/?keywords=ICICI%20Bank&amp;location=India"/>
    <hyperlink ref="H96" r:id="rId189" display="https://www.instahyre.com/job-320485-product-manager-at-idfc-first-bank-mumbai/"/>
    <hyperlink ref="K96" r:id="rId190" display="https://careers.idfcfirstbank.com/in/en/c/product-program-management-strategy-jobs"/>
    <hyperlink ref="H97" r:id="rId191" display="https://www.ziprecruiter.in/jobs/581532228-senior-product-manager-credit-cards-at-idfc-first-bank"/>
    <hyperlink ref="K97" r:id="rId192" display="https://careers.idfcfirstbank.com/in/en/c/product-program-management-strategy-jobs"/>
    <hyperlink ref="H98" r:id="rId193" display="https://iimjobs.com/j/indusind-bank-product-manager-digital-payments-4-8-yrs-1226962.html"/>
    <hyperlink ref="K98" r:id="rId194" display="https://www.linkedin.com/jobs/search/?keywords=IndusInd%20Bank&amp;location=India"/>
    <hyperlink ref="H99" r:id="rId195" display="https://www.iimjobs.com/j/indusind-bank-product-manager-commercial-cards-1006265"/>
    <hyperlink ref="K99" r:id="rId196" display="https://www.linkedin.com/jobs/search/?keywords=IndusInd%20Bank&amp;location=India"/>
    <hyperlink ref="H100" r:id="rId197" display="https://www.jobaaj.com/job/fin-financial-services-product-manager-upi-acquisition-jio-payments-bank-navi-mumbai-maharashtra-0-to-1-years-777846"/>
    <hyperlink ref="K100" r:id="rId198" display="https://in.linkedin.com/company/jiofinser/jobs"/>
    <hyperlink ref="H101" r:id="rId199" display="https://www.themuse.com/jobs/jpmorganchase/india-trade-product-manager-payments-executive-director"/>
    <hyperlink ref="K101" r:id="rId200" display="https://in.linkedin.com/jobs/jpmorgan-chase-jobs"/>
    <hyperlink ref="H102" r:id="rId201" display="https://builtin.com/job/product-manager-vice-president-payments/7761270"/>
    <hyperlink ref="K102" r:id="rId202" display="https://in.linkedin.com/jobs/jpmorgan-chase-jobs"/>
    <hyperlink ref="H103" r:id="rId203" display="https://www.livelaw.in/job-updates/product-manager-vacancy-at-kotak-mahindra-bank-limited-536900"/>
    <hyperlink ref="K103" r:id="rId204" display="https://www.linkedin.com/company/kotak-mahindra-bank"/>
    <hyperlink ref="H104" r:id="rId205" display="https://jobs.natwestgroup.com/search/product-and-proposition/jobs/in/country/india"/>
    <hyperlink ref="K104" r:id="rId206" display="https://jobs.natwestgroup.com/pages/india"/>
    <hyperlink ref="H105" r:id="rId207" display="https://www.iimjobs.com/j/rbl-bank-campaign-management-credit-cards-1349125"/>
    <hyperlink ref="K105" r:id="rId208" display="https://www.rbl.bank.in/careers"/>
    <hyperlink ref="H106" r:id="rId209" display="https://in.linkedin.com/jobs/view/product-manager-gurgaon-at-sbi-cards-and-payment-services-private-limited-202611397"/>
    <hyperlink ref="K106" r:id="rId210" display="https://in.linkedin.com/jobs/sbi-card-jobs-gurugram"/>
    <hyperlink ref="H107" r:id="rId211" display="https://www.sc.com/en/global-careers/experienced-hire/spotlight-career-opportunities/careers-in-india/"/>
    <hyperlink ref="K107" r:id="rId212" display="https://in.linkedin.com/jobs/standard-chartered-bank-jobs-bengaluru"/>
    <hyperlink ref="H108" r:id="rId213" display="https://builtin.com/job/sr-analyst-data-analytics-and-insights-performance-marketing-l08/7654082"/>
    <hyperlink ref="K108" r:id="rId214" display="https://www.linkedin.com/jobs/search/?keywords=Synchrony&amp;location=India"/>
    <hyperlink ref="H109" r:id="rId215" display="https://www.wellsfargojobs.com/en/jobs/r-539367/senior-digital-product-manager/"/>
    <hyperlink ref="K109" r:id="rId216" display="https://wf.wd1.myworkdayjobs.com/WellsFargoJobs"/>
    <hyperlink ref="H110" r:id="rId217" display="https://www.iimjobs.com/yes-bank-careers"/>
    <hyperlink ref="K110" r:id="rId218" display="https://in.linkedin.com/jobs/yes-bank-jobs-mumbai-metropolitan-region"/>
    <hyperlink ref="H111" r:id="rId219" display="https://careers.americanexpress.com/en/sites/CX_1/job/26009305/"/>
    <hyperlink ref="K111" r:id="rId220" display="https://jobs.americanexpress.com/india/jobs"/>
    <hyperlink ref="H112" r:id="rId221" display="https://www.jobaaj.com/job/american-express-product-manager-digital-payments-gurugram-3-to-5-years-709318"/>
    <hyperlink ref="K112" r:id="rId222" display="https://jobs.americanexpress.com/india/jobs"/>
    <hyperlink ref="H113" r:id="rId223" display="https://careers.mastercard.com/us/en/job/R-273100/Managing-Consultant-Advisors-Consulting-Services-Strategy-Transformation"/>
    <hyperlink ref="K113" r:id="rId224" display="https://careers.mastercard.com/us/en/c/consulting-jobs"/>
    <hyperlink ref="H114" r:id="rId225" display="https://careers.mastercard.com/us/en/job/R-256853/Managing-Consultant-Advisors-Consulting-Services-Performance-Analytics"/>
    <hyperlink ref="K114" r:id="rId226" display="https://careers.mastercard.com/us/en/c/consulting-jobs"/>
    <hyperlink ref="H115" r:id="rId227" display="https://mastercard.wd1.myworkdayjobs.com/en-US/CorporateCareers/job/Gurgaon-India/Consultant--Advisors---Consulting-Services--Performance-Analytics_R-234535"/>
    <hyperlink ref="K115" r:id="rId228" display="https://careers.mastercard.com/us/en/c/consulting-jobs"/>
    <hyperlink ref="H116" r:id="rId229" display="https://www.jobaaj.com/job/mastercard-product-manager-digital-payments-gurugram-1-to-2-years-828231"/>
    <hyperlink ref="K116" r:id="rId230" display="https://careers.mastercard.com/us/en/gurugram-india"/>
    <hyperlink ref="H117" r:id="rId231" display="https://builtin.com/job/associate-managing-consultant-2/7641479"/>
    <hyperlink ref="K117" r:id="rId232" display="https://careers.mastercard.com/us/en/c/consulting-jobs"/>
    <hyperlink ref="H118" r:id="rId233" display="https://www.themuse.com/jobs/mastercard/managing-consultant-analytics"/>
    <hyperlink ref="K118" r:id="rId234" display="https://careers.mastercard.com/us/en/c/consulting-jobs"/>
    <hyperlink ref="H119" r:id="rId235" display="https://www.npci.org.in/work-with-us/current-openings"/>
    <hyperlink ref="K119" r:id="rId236" display="https://www.npci.org.in/work-with-us/current-openings"/>
    <hyperlink ref="H120" r:id="rId237" display="https://www.bharat-connect.com/careers/apply/"/>
    <hyperlink ref="K120" r:id="rId238" display="https://in.linkedin.com/company/bharat-billpay"/>
    <hyperlink ref="H121" r:id="rId239" display="https://visa.wd5.myworkdayjobs.com/Visa/job/IN---Bengaluru-India/Product-Manager_REF084709W"/>
    <hyperlink ref="K121" r:id="rId240" display="https://in.linkedin.com/jobs/visa-inc-jobs"/>
    <hyperlink ref="H122" r:id="rId241" display="https://www.themuse.com/jobs/visa/product-manager-payments-f864a3"/>
    <hyperlink ref="K122" r:id="rId242" display="https://in.linkedin.com/jobs/visa-inc-jobs"/>
    <hyperlink ref="H123" r:id="rId243" display="https://www.foundit.in/job/data-scientist-visa-consulting-analytics-visa-bengaluru-bangalore-52576776"/>
    <hyperlink ref="K123" r:id="rId244" display="https://in.linkedin.com/jobs/visa-inc-jobs"/>
    <hyperlink ref="H124" r:id="rId245" display="https://www.glassdoor.co.in/Jobs/Airwallex-Jobs-E1831889.htm"/>
    <hyperlink ref="K124" r:id="rId246" display="https://careers.airwallex.com/jobs/"/>
    <hyperlink ref="H125" r:id="rId247" display="https://www.instahyre.com/job-197944-principal-product-manager-at-nium-bangalore-chennai-mumbai/"/>
    <hyperlink ref="K125" r:id="rId248" display="https://www.nium.com/careers"/>
    <hyperlink ref="H126" r:id="rId249" display="https://www.instahyre.com/job-197929-product-manager-core-at-nium-bangalore-chennai-mumbai/"/>
    <hyperlink ref="K126" r:id="rId250" display="https://www.nium.com/careers"/>
    <hyperlink ref="H127" r:id="rId251" display="https://in.linkedin.com/jobs/view/expansion-manager-%E2%80%94-stablecoins-at-nium-4432240767"/>
    <hyperlink ref="K127" r:id="rId252" display="https://www.nium.com/careers"/>
    <hyperlink ref="H128" r:id="rId253" display="https://startup.jobs/program-growth-manager-payoneer-2-8053174"/>
    <hyperlink ref="K128" r:id="rId254" display="https://careers.payoneer.com/"/>
    <hyperlink ref="H129" r:id="rId255" display="https://in.linkedin.com/jobs/view/senior-product-manager-working-capital-at-payoneer-4455321860"/>
    <hyperlink ref="K129" r:id="rId256" display="https://careers.payoneer.com/"/>
    <hyperlink ref="H130" r:id="rId257" display="https://in.linkedin.com/jobs/view/product-manager-at-payoneer-4367990869"/>
    <hyperlink ref="K130" r:id="rId258" display="https://careers.payoneer.com/"/>
    <hyperlink ref="H131" r:id="rId259" display="https://tazapay.freshteam.com/jobs"/>
    <hyperlink ref="K131" r:id="rId260" display="https://tazapay.com/careers"/>
    <hyperlink ref="H132" r:id="rId261" display="https://careers.westernunion.com/job-details/13699957/manager-product-delivery-pune-in/"/>
    <hyperlink ref="K132" r:id="rId262" display="https://careers.westernunion.com/india/"/>
    <hyperlink ref="H133" r:id="rId263" display="https://builtin.com/job/asst-mgr-product-management/3589704"/>
    <hyperlink ref="K133" r:id="rId264" display="https://careers.westernunion.com/india/"/>
    <hyperlink ref="H134" r:id="rId265" display="https://wise.jobs/job/product-lead-india-in-hyderabad-jid-1795"/>
    <hyperlink ref="K134" r:id="rId266" display="https://wise.jobs/posts/tags/hyderabad"/>
    <hyperlink ref="H135" r:id="rId267" display="https://wise.jobs/job/product-manager-apac-onboarding-and-kyc-in-hyderabad-jid-2665"/>
    <hyperlink ref="K135" r:id="rId268" display="https://wise.jobs/posts/tags/hyderabad"/>
    <hyperlink ref="H136" r:id="rId269" display="https://careers.adyen.com/locations/bengaluru"/>
    <hyperlink ref="K136" r:id="rId270" display="https://careers.adyen.com/vacancies"/>
    <hyperlink ref="H137" r:id="rId271" display="https://careers.adyen.com/locations/mumbai"/>
    <hyperlink ref="K137" r:id="rId272" display="https://careers.adyen.com/vacancies"/>
    <hyperlink ref="H138" r:id="rId273" display="https://www.amazon.jobs/en/jobs/10439650/product-manager-amazon-pay-core-payments-acceptance"/>
    <hyperlink ref="K138" r:id="rId274" display="https://www.amazon.jobs/en/search?base_query=amazon+pay&amp;loc_query=India"/>
    <hyperlink ref="H139" r:id="rId275" display="https://www.amazon.jobs/en/jobs/3176660/product-manager-in-payments"/>
    <hyperlink ref="K139" r:id="rId276" display="https://www.amazon.jobs/en/search?base_query=amazon+pay&amp;loc_query=India"/>
    <hyperlink ref="H140" r:id="rId277" display="https://www.bayt.com/en/india/jobs/program-manager-bill-payments-amazon-pay-74650059/"/>
    <hyperlink ref="K140" r:id="rId278" display="https://www.amazon.jobs/en/search?base_query=amazon+pay&amp;loc_query=India"/>
    <hyperlink ref="H141" r:id="rId279" display="https://www.google.com/about/careers/applications/jobs/results/130049272241365702-strategic-partnerships-development-manager/"/>
    <hyperlink ref="K141" r:id="rId280" display="https://www.google.com/about/careers/applications/jobs/results/?location=India&amp;q=Google%20Pay"/>
    <hyperlink ref="H142" r:id="rId281" display="https://www.google.com/about/careers/applications/jobs/results/128261238082675398-manager-payments-product-operations-and-strategy-google-pay/"/>
    <hyperlink ref="K142" r:id="rId282" display="https://www.google.com/about/careers/applications/jobs/results/?location=India&amp;q=Google%20Pay"/>
    <hyperlink ref="H143" r:id="rId283" display="https://www.google.com/about/careers/applications/jobs/results/85098134622872262-senior-product-manager/"/>
    <hyperlink ref="K143" r:id="rId284" display="https://www.google.com/about/careers/applications/jobs/results/?location=India&amp;q=Google%20Pay"/>
    <hyperlink ref="H144" r:id="rId285" display="https://builtin.com/job/lead-product-manager/7204079"/>
    <hyperlink ref="K144" r:id="rId286" display="https://careers.pypl.com/categories/product-management/"/>
    <hyperlink ref="H145" r:id="rId287" display="https://careers.pypl.com/categories/product-management/"/>
    <hyperlink ref="K145" r:id="rId288" display="https://careers.pypl.com/categories/product-management/"/>
    <hyperlink ref="H146" r:id="rId289" display="https://stripe.com/careers/listing/product-manager-e-invoicing/8041655"/>
    <hyperlink ref="K146" r:id="rId290" display="https://www.bayt.com/en/india/jobs/stripe-jobs-in-bengaluru/"/>
    <hyperlink ref="H147" r:id="rId291" display="https://stripe.com/careers/listing/product-strategy-operations-apac/8081423"/>
    <hyperlink ref="K147" r:id="rId292" display="https://www.bayt.com/en/india/jobs/stripe-jobs-in-bengaluru/"/>
    <hyperlink ref="H148" r:id="rId293" display="https://in.linkedin.com/jobs/aci-worldwide-jobs"/>
    <hyperlink ref="K148" r:id="rId294" display="https://www.aciworldwide.com/about-aci/careers"/>
    <hyperlink ref="H149" r:id="rId295" display="https://in.expertini.com/jobs/in/infosys-finacle-payments-product-management-bengaluru-infosys-finacle/"/>
    <hyperlink ref="K149" r:id="rId296" display="https://www.edgeverve.com/careers/"/>
    <hyperlink ref="H150" r:id="rId297" display="https://www.uplers.com/company/fss-5393"/>
    <hyperlink ref="K150" r:id="rId298" display="https://www.uplers.com/company/fss-5393"/>
    <hyperlink ref="H151" r:id="rId299" display="https://www.glassdoor.com/Jobs/Finastra-Bangalore-Jobs-EI_IE1689268.0,8_IL.9,18_IM1091.htm"/>
    <hyperlink ref="K151" r:id="rId300" display="https://careers.finastra.com/jobs"/>
    <hyperlink ref="H152" r:id="rId301" display="https://finzly.com/careers/product-manager/chennai-pune-india/"/>
    <hyperlink ref="K152" r:id="rId302" display="https://www.linkedin.com/jobs/search/?keywords=Finzly&amp;location=India"/>
    <hyperlink ref="H153" r:id="rId303" display="https://in.linkedin.com/jobs/fis-global-jobs"/>
    <hyperlink ref="K153" r:id="rId304" display="https://careers.fisglobal.com/us/en"/>
    <hyperlink ref="H154" r:id="rId305" display="https://builtin.com/job/technology-business-consultant-specialist-cards-and-payments-domain/4056670"/>
    <hyperlink ref="K154" r:id="rId306" display="https://careers.fisglobal.com/us/en"/>
    <hyperlink ref="H155" r:id="rId307" display="https://careers.fiserv.com/us/en/job/FFFYJUSR10391581EXTERNALENUS/B2B-Product-Manager-Senior-Product-Manager"/>
    <hyperlink ref="K155" r:id="rId308" display="https://careers.fiserv.com/us/en"/>
    <hyperlink ref="H156" r:id="rId309" display="https://workopia.io/jobs/a203a50af0c0bbdec79f11bc6c643aed"/>
    <hyperlink ref="K156" r:id="rId310" display="https://www.uplers.com/company/hitachi-payment-services-pvt-ltd-12393"/>
    <hyperlink ref="H157" r:id="rId311" display="https://in.linkedin.com/jobs/intellect-design-arena-ltd-jobs"/>
    <hyperlink ref="K157" r:id="rId312" display="https://www.intellectdesign.com/"/>
    <hyperlink ref="H158" r:id="rId313" display="https://in.linkedin.com/jobs/temenos-jobs"/>
    <hyperlink ref="K158" r:id="rId314" display="https://temenos.wd103.myworkdayjobs.com/Temenoscareers"/>
    <hyperlink ref="H159" r:id="rId315" display="https://www.ziprecruiter.in/jobs/538586594-product-manager-at-worldline-global-services"/>
    <hyperlink ref="K159" r:id="rId316" display="https://worldline.com/en-in/home/top-navigation/career"/>
    <hyperlink ref="H160" r:id="rId317" display="https://jobs.lever.co/zeta/8623c195-f912-4d87-952f-7114cd258413"/>
    <hyperlink ref="K160" r:id="rId318" display="https://jobs.lever.co/zeta"/>
    <hyperlink ref="H161" r:id="rId319" display="https://startup.jobs/associate-product-manager-i-ii-tachyon-zeta-1818400"/>
    <hyperlink ref="K161" r:id="rId320" display="https://jobs.lever.co/zet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2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0"/>
    <col collapsed="false" customWidth="true" hidden="false" outlineLevel="0" max="3" min="3" style="0" width="55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847</v>
      </c>
    </row>
    <row r="3" customFormat="false" ht="30" hidden="false" customHeight="true" outlineLevel="0" collapsed="false">
      <c r="A3" s="5" t="s">
        <v>848</v>
      </c>
      <c r="B3" s="5" t="s">
        <v>849</v>
      </c>
      <c r="C3" s="5" t="s">
        <v>615</v>
      </c>
      <c r="D3" s="5" t="s">
        <v>850</v>
      </c>
    </row>
    <row r="4" customFormat="false" ht="15" hidden="false" customHeight="false" outlineLevel="0" collapsed="false">
      <c r="A4" s="4" t="s">
        <v>851</v>
      </c>
      <c r="B4" s="11" t="s">
        <v>852</v>
      </c>
      <c r="C4" s="11" t="s">
        <v>853</v>
      </c>
      <c r="D4" s="11" t="s">
        <v>854</v>
      </c>
    </row>
    <row r="5" customFormat="false" ht="15" hidden="false" customHeight="false" outlineLevel="0" collapsed="false">
      <c r="A5" s="4" t="s">
        <v>855</v>
      </c>
      <c r="B5" s="11" t="s">
        <v>856</v>
      </c>
      <c r="C5" s="11" t="s">
        <v>857</v>
      </c>
      <c r="D5" s="11" t="s">
        <v>858</v>
      </c>
    </row>
    <row r="6" customFormat="false" ht="15" hidden="false" customHeight="false" outlineLevel="0" collapsed="false">
      <c r="A6" s="4" t="s">
        <v>859</v>
      </c>
      <c r="B6" s="11" t="s">
        <v>860</v>
      </c>
      <c r="C6" s="11" t="s">
        <v>861</v>
      </c>
      <c r="D6" s="11" t="s">
        <v>862</v>
      </c>
    </row>
    <row r="7" customFormat="false" ht="15" hidden="false" customHeight="false" outlineLevel="0" collapsed="false">
      <c r="A7" s="4" t="s">
        <v>863</v>
      </c>
      <c r="B7" s="11" t="s">
        <v>864</v>
      </c>
      <c r="C7" s="11" t="s">
        <v>865</v>
      </c>
      <c r="D7" s="11" t="s">
        <v>866</v>
      </c>
    </row>
    <row r="8" customFormat="false" ht="15" hidden="false" customHeight="false" outlineLevel="0" collapsed="false">
      <c r="A8" s="4" t="s">
        <v>867</v>
      </c>
      <c r="B8" s="11" t="s">
        <v>868</v>
      </c>
      <c r="C8" s="11" t="s">
        <v>869</v>
      </c>
      <c r="D8" s="11" t="s">
        <v>870</v>
      </c>
    </row>
    <row r="9" customFormat="false" ht="15" hidden="false" customHeight="false" outlineLevel="0" collapsed="false">
      <c r="A9" s="4" t="s">
        <v>871</v>
      </c>
      <c r="B9" s="11" t="s">
        <v>872</v>
      </c>
      <c r="C9" s="11" t="s">
        <v>873</v>
      </c>
      <c r="D9" s="11" t="s">
        <v>874</v>
      </c>
    </row>
    <row r="10" customFormat="false" ht="15" hidden="false" customHeight="false" outlineLevel="0" collapsed="false">
      <c r="A10" s="4" t="s">
        <v>875</v>
      </c>
      <c r="B10" s="11" t="s">
        <v>876</v>
      </c>
      <c r="C10" s="11" t="s">
        <v>877</v>
      </c>
      <c r="D10" s="11" t="s">
        <v>878</v>
      </c>
    </row>
    <row r="11" customFormat="false" ht="15" hidden="false" customHeight="false" outlineLevel="0" collapsed="false">
      <c r="A11" s="4" t="s">
        <v>879</v>
      </c>
      <c r="B11" s="11" t="s">
        <v>880</v>
      </c>
      <c r="C11" s="11" t="s">
        <v>881</v>
      </c>
      <c r="D11" s="11" t="s">
        <v>882</v>
      </c>
    </row>
    <row r="12" customFormat="false" ht="15" hidden="false" customHeight="false" outlineLevel="0" collapsed="false">
      <c r="A12" s="4" t="s">
        <v>883</v>
      </c>
      <c r="B12" s="11" t="s">
        <v>884</v>
      </c>
      <c r="C12" s="11" t="s">
        <v>885</v>
      </c>
      <c r="D12" s="11" t="s">
        <v>886</v>
      </c>
    </row>
    <row r="13" customFormat="false" ht="15" hidden="false" customHeight="false" outlineLevel="0" collapsed="false">
      <c r="A13" s="4" t="s">
        <v>887</v>
      </c>
      <c r="B13" s="11" t="s">
        <v>888</v>
      </c>
      <c r="C13" s="11" t="s">
        <v>889</v>
      </c>
      <c r="D13" s="11" t="s">
        <v>890</v>
      </c>
    </row>
    <row r="14" customFormat="false" ht="15" hidden="false" customHeight="false" outlineLevel="0" collapsed="false">
      <c r="A14" s="4" t="s">
        <v>891</v>
      </c>
      <c r="B14" s="11" t="s">
        <v>892</v>
      </c>
      <c r="C14" s="11" t="s">
        <v>893</v>
      </c>
      <c r="D14" s="11" t="s">
        <v>894</v>
      </c>
    </row>
    <row r="15" customFormat="false" ht="15" hidden="false" customHeight="false" outlineLevel="0" collapsed="false">
      <c r="A15" s="4" t="s">
        <v>895</v>
      </c>
      <c r="B15" s="11" t="s">
        <v>896</v>
      </c>
      <c r="C15" s="11" t="s">
        <v>897</v>
      </c>
      <c r="D15" s="11" t="s">
        <v>898</v>
      </c>
    </row>
  </sheetData>
  <hyperlinks>
    <hyperlink ref="B4" r:id="rId1" display="https://www.linkedin.com/jobs/search/?keywords=payments%20product%20manager&amp;location=India"/>
    <hyperlink ref="C4" r:id="rId2" display="https://www.naukri.com/payments-product-manager-jobs"/>
    <hyperlink ref="D4" r:id="rId3" display="https://in.indeed.com/jobs?q=payments+product+manager&amp;l=India"/>
    <hyperlink ref="B5" r:id="rId4" display="https://www.linkedin.com/jobs/search/?keywords=payments%20strategy&amp;location=India"/>
    <hyperlink ref="C5" r:id="rId5" display="https://www.naukri.com/payments-strategy-jobs"/>
    <hyperlink ref="D5" r:id="rId6" display="https://in.indeed.com/jobs?q=payments+strategy&amp;l=India"/>
    <hyperlink ref="B6" r:id="rId7" display="https://www.linkedin.com/jobs/search/?keywords=financial%20services%20consultant&amp;location=India"/>
    <hyperlink ref="C6" r:id="rId8" display="https://www.naukri.com/financial-services-consultant-jobs"/>
    <hyperlink ref="D6" r:id="rId9" display="https://in.indeed.com/jobs?q=financial+services+consultant&amp;l=India"/>
    <hyperlink ref="B7" r:id="rId10" display="https://www.linkedin.com/jobs/search/?keywords=cards%20product%20manager&amp;location=India"/>
    <hyperlink ref="C7" r:id="rId11" display="https://www.naukri.com/cards-product-manager-jobs"/>
    <hyperlink ref="D7" r:id="rId12" display="https://in.indeed.com/jobs?q=cards+product+manager&amp;l=India"/>
    <hyperlink ref="B8" r:id="rId13" display="https://www.linkedin.com/jobs/search/?keywords=UPI%20product%20manager&amp;location=India"/>
    <hyperlink ref="C8" r:id="rId14" display="https://www.naukri.com/upi-product-manager-jobs"/>
    <hyperlink ref="D8" r:id="rId15" display="https://in.indeed.com/jobs?q=UPI+product+manager&amp;l=India"/>
    <hyperlink ref="B9" r:id="rId16" display="https://www.linkedin.com/jobs/search/?keywords=cross%20border%20payments&amp;location=India"/>
    <hyperlink ref="C9" r:id="rId17" display="https://www.naukri.com/cross-border-payments-jobs"/>
    <hyperlink ref="D9" r:id="rId18" display="https://in.indeed.com/jobs?q=cross+border+payments&amp;l=India"/>
    <hyperlink ref="B10" r:id="rId19" display="https://www.linkedin.com/jobs/search/?keywords=pricing%20strategy%20financial%20services&amp;location=India"/>
    <hyperlink ref="C10" r:id="rId20" display="https://www.naukri.com/pricing-strategy-financial-services-jobs"/>
    <hyperlink ref="D10" r:id="rId21" display="https://in.indeed.com/jobs?q=pricing+strategy+financial+services&amp;l=India"/>
    <hyperlink ref="B11" r:id="rId22" display="https://www.linkedin.com/jobs/search/?keywords=growth%20manager%20fintech&amp;location=India"/>
    <hyperlink ref="C11" r:id="rId23" display="https://www.naukri.com/growth-manager-fintech-jobs"/>
    <hyperlink ref="D11" r:id="rId24" display="https://in.indeed.com/jobs?q=growth+manager+fintech&amp;l=India"/>
    <hyperlink ref="B12" r:id="rId25" display="https://www.linkedin.com/jobs/search/?keywords=business%20consultant%20payments&amp;location=India"/>
    <hyperlink ref="C12" r:id="rId26" display="https://www.naukri.com/business-consultant-payments-jobs"/>
    <hyperlink ref="D12" r:id="rId27" display="https://in.indeed.com/jobs?q=business+consultant+payments&amp;l=India"/>
    <hyperlink ref="B13" r:id="rId28" display="https://www.linkedin.com/jobs/search/?keywords=go%20to%20market%20fintech&amp;location=India"/>
    <hyperlink ref="C13" r:id="rId29" display="https://www.naukri.com/go-to-market-fintech-jobs"/>
    <hyperlink ref="D13" r:id="rId30" display="https://in.indeed.com/jobs?q=go+to+market+fintech&amp;l=India"/>
    <hyperlink ref="B14" r:id="rId31" display="https://www.linkedin.com/jobs/search/?keywords=merchant%20acquiring&amp;location=India"/>
    <hyperlink ref="C14" r:id="rId32" display="https://www.naukri.com/merchant-acquiring-jobs"/>
    <hyperlink ref="D14" r:id="rId33" display="https://in.indeed.com/jobs?q=merchant+acquiring&amp;l=India"/>
    <hyperlink ref="B15" r:id="rId34" display="https://www.linkedin.com/jobs/search/?keywords=transaction%20banking%20product%20manager&amp;location=India"/>
    <hyperlink ref="C15" r:id="rId35" display="https://www.naukri.com/transaction-banking-product-manager-jobs"/>
    <hyperlink ref="D15" r:id="rId36" display="https://in.indeed.com/jobs?q=transaction+banking+product+manager&amp;l=Indi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2026-09-28T16:52:47Z</dcterms:created>
  <dc:creator>openpyxl</dc:creator>
  <dc:description/>
  <dc:language>en-US</dc:language>
  <cp:lastModifiedBy/>
  <dcterms:modified xsi:type="dcterms:W3CDTF">2026-09-28T16:52:47Z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